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28680" yWindow="-120" windowWidth="29040" windowHeight="15720" tabRatio="600" firstSheet="0" activeTab="3" autoFilterDateGrouping="1"/>
  </bookViews>
  <sheets>
    <sheet name="B" sheetId="1" state="visible" r:id="rId1"/>
    <sheet name="C" sheetId="2" state="visible" r:id="rId2"/>
    <sheet name="D" sheetId="3" state="visible" r:id="rId3"/>
    <sheet name="文库环化" sheetId="4" state="visible" r:id="rId4"/>
    <sheet name="T7+制备" sheetId="5" state="visible" r:id="rId5"/>
    <sheet name="B1-B3" sheetId="6" state="hidden" r:id="rId6"/>
    <sheet name="下机数据统计模版" sheetId="7" state="visible" r:id="rId7"/>
  </sheets>
  <definedNames/>
  <calcPr calcId="191029" fullCalcOnLoad="1" concurrentCalc="0"/>
</workbook>
</file>

<file path=xl/styles.xml><?xml version="1.0" encoding="utf-8"?>
<styleSheet xmlns="http://schemas.openxmlformats.org/spreadsheetml/2006/main">
  <numFmts count="13">
    <numFmt numFmtId="164" formatCode="0.00_);[Red]\(0.00\)"/>
    <numFmt numFmtId="165" formatCode="0.0_);[Red]\(0.0\)"/>
    <numFmt numFmtId="166" formatCode="0.000_);[Red]\(0.000\)"/>
    <numFmt numFmtId="167" formatCode="0.00_ "/>
    <numFmt numFmtId="168" formatCode="0.000_ "/>
    <numFmt numFmtId="169" formatCode="0.0000_);[Red]\(0.0000\)"/>
    <numFmt numFmtId="170" formatCode="0.0_ "/>
    <numFmt numFmtId="171" formatCode="0_);[Red]\(0\)"/>
    <numFmt numFmtId="172" formatCode="0.00;[Red]0.00"/>
    <numFmt numFmtId="173" formatCode="[$-409]yyyy/m/d\ h:mm\ "/>
    <numFmt numFmtId="174" formatCode="_ [$￥-804]* #,##0.00_ ;_ [$￥-804]* \-#,##0.00_ ;_ [$￥-804]* &quot;-&quot;??_ ;_ @_ "/>
    <numFmt numFmtId="175" formatCode="_ [$¥-804]* #,##0.00_ ;_ [$¥-804]* \-#,##0.00_ ;_ [$¥-804]* &quot;-&quot;??_ ;_ @_ "/>
    <numFmt numFmtId="176" formatCode="0.000"/>
  </numFmts>
  <fonts count="27">
    <font>
      <name val="宋体"/>
      <charset val="134"/>
      <sz val="12"/>
    </font>
    <font>
      <name val="Times New Roman"/>
      <family val="1"/>
      <b val="1"/>
      <sz val="12"/>
    </font>
    <font>
      <name val="Times New Roman"/>
      <family val="1"/>
      <sz val="12"/>
    </font>
    <font>
      <name val="宋体"/>
      <charset val="134"/>
      <family val="3"/>
      <b val="1"/>
      <sz val="10"/>
    </font>
    <font>
      <name val="宋体"/>
      <charset val="134"/>
      <family val="3"/>
      <b val="1"/>
      <sz val="12"/>
    </font>
    <font>
      <name val="Times New Roman"/>
      <family val="1"/>
      <sz val="20"/>
    </font>
    <font>
      <name val="Times New Roman"/>
      <family val="1"/>
      <b val="1"/>
      <sz val="14"/>
    </font>
    <font>
      <name val="Times New Roman"/>
      <family val="1"/>
      <sz val="14"/>
    </font>
    <font>
      <name val="宋体"/>
      <charset val="134"/>
      <family val="3"/>
      <b val="1"/>
      <sz val="14"/>
    </font>
    <font>
      <name val="宋体"/>
      <charset val="134"/>
      <family val="3"/>
      <b val="1"/>
      <sz val="16"/>
    </font>
    <font>
      <name val="Times New Roman"/>
      <family val="1"/>
      <sz val="18"/>
    </font>
    <font>
      <name val="Times New Roman"/>
      <family val="1"/>
      <b val="1"/>
      <sz val="18"/>
    </font>
    <font>
      <name val="宋体"/>
      <charset val="134"/>
      <family val="3"/>
      <b val="1"/>
      <sz val="18"/>
    </font>
    <font>
      <name val="宋体"/>
      <charset val="134"/>
      <family val="3"/>
      <color theme="1"/>
      <sz val="11"/>
      <scheme val="minor"/>
    </font>
    <font>
      <name val="Arial"/>
      <family val="2"/>
      <sz val="10"/>
    </font>
    <font>
      <name val="宋体"/>
      <charset val="134"/>
      <family val="3"/>
      <sz val="12"/>
    </font>
    <font>
      <name val="宋体"/>
      <charset val="134"/>
      <family val="3"/>
      <sz val="9"/>
    </font>
    <font>
      <name val="Times New Roman"/>
      <family val="1"/>
      <sz val="10"/>
    </font>
    <font>
      <name val="Times New Roman"/>
      <family val="1"/>
      <b val="1"/>
      <sz val="18"/>
    </font>
    <font>
      <name val="Times New Roman"/>
      <family val="1"/>
      <b val="1"/>
      <sz val="16"/>
    </font>
    <font>
      <name val="Times New Roman"/>
      <family val="1"/>
      <sz val="12"/>
    </font>
    <font>
      <name val="Times New Roman"/>
      <family val="1"/>
      <b val="1"/>
      <sz val="14"/>
    </font>
    <font>
      <name val="Times New Roman"/>
      <family val="1"/>
      <sz val="14"/>
    </font>
    <font>
      <name val="Times New Roman"/>
      <family val="1"/>
      <b val="1"/>
      <sz val="10"/>
    </font>
    <font>
      <name val="Times New Roman"/>
      <family val="1"/>
      <color rgb="FF000000"/>
      <sz val="14"/>
    </font>
    <font>
      <name val="宋体"/>
      <charset val="134"/>
      <family val="3"/>
      <color rgb="FF000000"/>
      <sz val="14"/>
    </font>
    <font>
      <name val="Times New Roman"/>
      <sz val="10"/>
    </font>
  </fonts>
  <fills count="13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92D04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0099CCFF"/>
        <bgColor rgb="0099CCFF"/>
      </patternFill>
    </fill>
    <fill>
      <patternFill patternType="solid">
        <fgColor rgb="00FFFF00"/>
        <bgColor rgb="00FFFF00"/>
      </patternFill>
    </fill>
    <fill>
      <patternFill patternType="solid">
        <fgColor rgb="003399FF"/>
        <bgColor rgb="003399FF"/>
      </patternFill>
    </fill>
    <fill>
      <patternFill patternType="solid">
        <fgColor rgb="00FF0000"/>
        <bgColor rgb="00FF0000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1">
    <xf numFmtId="0" fontId="0" fillId="0" borderId="0" applyAlignment="1">
      <alignment vertical="center"/>
    </xf>
    <xf numFmtId="0" fontId="13" fillId="0" borderId="0"/>
    <xf numFmtId="173" fontId="13" fillId="0" borderId="0"/>
    <xf numFmtId="174" fontId="13" fillId="0" borderId="0" applyAlignment="1">
      <alignment vertical="center"/>
    </xf>
    <xf numFmtId="174" fontId="14" fillId="0" borderId="0"/>
    <xf numFmtId="175" fontId="13" fillId="0" borderId="0" applyAlignment="1">
      <alignment vertical="center"/>
    </xf>
    <xf numFmtId="173" fontId="13" fillId="0" borderId="0" applyAlignment="1">
      <alignment vertical="center"/>
    </xf>
    <xf numFmtId="9" fontId="15" fillId="0" borderId="0" applyAlignment="1">
      <alignment vertical="center"/>
    </xf>
    <xf numFmtId="0" fontId="13" fillId="0" borderId="0" applyAlignment="1">
      <alignment vertical="center"/>
    </xf>
    <xf numFmtId="0" fontId="13" fillId="0" borderId="0"/>
    <xf numFmtId="0" fontId="15" fillId="0" borderId="0" applyAlignment="1">
      <alignment vertical="center"/>
    </xf>
  </cellStyleXfs>
  <cellXfs count="166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 wrapText="1"/>
    </xf>
    <xf numFmtId="164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165" fontId="2" fillId="0" borderId="0" applyAlignment="1" pivotButton="0" quotePrefix="0" xfId="0">
      <alignment horizontal="center" vertical="center"/>
    </xf>
    <xf numFmtId="166" fontId="2" fillId="0" borderId="0" applyAlignment="1" pivotButton="0" quotePrefix="0" xfId="0">
      <alignment horizontal="center" vertical="center"/>
    </xf>
    <xf numFmtId="9" fontId="2" fillId="0" borderId="0" applyAlignment="1" pivotButton="0" quotePrefix="0" xfId="7">
      <alignment horizontal="center" vertical="center"/>
    </xf>
    <xf numFmtId="167" fontId="2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168" fontId="2" fillId="0" borderId="0" applyAlignment="1" pivotButton="0" quotePrefix="0" xfId="0">
      <alignment horizontal="center" vertical="center"/>
    </xf>
    <xf numFmtId="169" fontId="2" fillId="0" borderId="0" applyAlignment="1" pivotButton="0" quotePrefix="0" xfId="0">
      <alignment horizontal="center" vertical="center"/>
    </xf>
    <xf numFmtId="164" fontId="5" fillId="0" borderId="0" applyAlignment="1" pivotButton="0" quotePrefix="0" xfId="0">
      <alignment horizontal="center" vertical="center"/>
    </xf>
    <xf numFmtId="167" fontId="5" fillId="0" borderId="0" applyAlignment="1" pivotButton="0" quotePrefix="0" xfId="7">
      <alignment horizontal="center" vertical="center"/>
    </xf>
    <xf numFmtId="49" fontId="2" fillId="0" borderId="0" applyAlignment="1" pivotButton="0" quotePrefix="0" xfId="0">
      <alignment horizontal="center" vertical="center"/>
    </xf>
    <xf numFmtId="170" fontId="2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/>
    </xf>
    <xf numFmtId="49" fontId="7" fillId="0" borderId="0" applyAlignment="1" pivotButton="0" quotePrefix="0" xfId="0">
      <alignment horizontal="center" vertical="center"/>
    </xf>
    <xf numFmtId="164" fontId="7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 wrapText="1"/>
    </xf>
    <xf numFmtId="171" fontId="7" fillId="0" borderId="0" applyAlignment="1" pivotButton="0" quotePrefix="0" xfId="0">
      <alignment horizontal="center" vertical="center"/>
    </xf>
    <xf numFmtId="167" fontId="7" fillId="0" borderId="0" applyAlignment="1" pivotButton="0" quotePrefix="0" xfId="0">
      <alignment horizontal="center" vertical="center"/>
    </xf>
    <xf numFmtId="166" fontId="7" fillId="0" borderId="0" applyAlignment="1" pivotButton="0" quotePrefix="0" xfId="0">
      <alignment horizontal="center" vertical="center"/>
    </xf>
    <xf numFmtId="172" fontId="7" fillId="0" borderId="0" applyAlignment="1" pivotButton="0" quotePrefix="0" xfId="7">
      <alignment horizontal="center" vertical="center"/>
    </xf>
    <xf numFmtId="165" fontId="7" fillId="0" borderId="0" applyAlignment="1" pivotButton="0" quotePrefix="0" xfId="7">
      <alignment horizontal="center" vertical="center"/>
    </xf>
    <xf numFmtId="0" fontId="11" fillId="0" borderId="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center"/>
    </xf>
    <xf numFmtId="164" fontId="10" fillId="0" borderId="0" applyAlignment="1" pivotButton="0" quotePrefix="0" xfId="0">
      <alignment horizontal="center" vertical="center"/>
    </xf>
    <xf numFmtId="168" fontId="10" fillId="0" borderId="0" applyAlignment="1" pivotButton="0" quotePrefix="0" xfId="0">
      <alignment horizontal="center" vertical="center"/>
    </xf>
    <xf numFmtId="166" fontId="10" fillId="0" borderId="0" applyAlignment="1" pivotButton="0" quotePrefix="0" xfId="0">
      <alignment horizontal="center" vertical="center"/>
    </xf>
    <xf numFmtId="167" fontId="10" fillId="0" borderId="0" applyAlignment="1" pivotButton="0" quotePrefix="0" xfId="0">
      <alignment horizontal="center" vertical="center"/>
    </xf>
    <xf numFmtId="0" fontId="12" fillId="2" borderId="0" applyAlignment="1" pivotButton="0" quotePrefix="0" xfId="0">
      <alignment horizontal="center" vertical="center"/>
    </xf>
    <xf numFmtId="0" fontId="9" fillId="0" borderId="3" applyAlignment="1" pivotButton="0" quotePrefix="0" xfId="0">
      <alignment horizontal="center" vertical="center"/>
    </xf>
    <xf numFmtId="164" fontId="9" fillId="2" borderId="3" applyAlignment="1" pivotButton="0" quotePrefix="0" xfId="0">
      <alignment horizontal="center" vertical="center"/>
    </xf>
    <xf numFmtId="171" fontId="9" fillId="2" borderId="3" applyAlignment="1" pivotButton="0" quotePrefix="0" xfId="0">
      <alignment horizontal="center" vertical="center"/>
    </xf>
    <xf numFmtId="167" fontId="9" fillId="2" borderId="3" applyAlignment="1" pivotButton="0" quotePrefix="0" xfId="0">
      <alignment horizontal="center" vertical="center"/>
    </xf>
    <xf numFmtId="166" fontId="9" fillId="2" borderId="3" applyAlignment="1" pivotButton="0" quotePrefix="0" xfId="0">
      <alignment horizontal="center" vertical="center"/>
    </xf>
    <xf numFmtId="164" fontId="9" fillId="3" borderId="3" applyAlignment="1" pivotButton="0" quotePrefix="0" xfId="0">
      <alignment horizontal="center" vertical="center"/>
    </xf>
    <xf numFmtId="165" fontId="9" fillId="2" borderId="3" applyAlignment="1" pivotButton="0" quotePrefix="0" xfId="0">
      <alignment horizontal="center" vertical="center"/>
    </xf>
    <xf numFmtId="0" fontId="9" fillId="6" borderId="3" applyAlignment="1" pivotButton="0" quotePrefix="0" xfId="0">
      <alignment horizontal="center" vertical="center"/>
    </xf>
    <xf numFmtId="164" fontId="12" fillId="2" borderId="0" applyAlignment="1" pivotButton="0" quotePrefix="0" xfId="0">
      <alignment horizontal="center" vertical="center"/>
    </xf>
    <xf numFmtId="168" fontId="12" fillId="2" borderId="0" applyAlignment="1" pivotButton="0" quotePrefix="0" xfId="0">
      <alignment horizontal="center" vertical="center"/>
    </xf>
    <xf numFmtId="166" fontId="12" fillId="2" borderId="0" applyAlignment="1" pivotButton="0" quotePrefix="0" xfId="0">
      <alignment horizontal="center" vertical="center"/>
    </xf>
    <xf numFmtId="165" fontId="12" fillId="2" borderId="0" applyAlignment="1" pivotButton="0" quotePrefix="0" xfId="0">
      <alignment horizontal="center" vertical="center"/>
    </xf>
    <xf numFmtId="167" fontId="12" fillId="2" borderId="1" applyAlignment="1" pivotButton="0" quotePrefix="0" xfId="0">
      <alignment horizontal="center" vertical="center"/>
    </xf>
    <xf numFmtId="168" fontId="8" fillId="4" borderId="1" applyAlignment="1" pivotButton="0" quotePrefix="0" xfId="0">
      <alignment horizontal="center" vertical="center"/>
    </xf>
    <xf numFmtId="169" fontId="8" fillId="2" borderId="1" applyAlignment="1" pivotButton="0" quotePrefix="0" xfId="0">
      <alignment horizontal="center" vertical="center"/>
    </xf>
    <xf numFmtId="166" fontId="8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164" fontId="3" fillId="2" borderId="1" applyAlignment="1" pivotButton="0" quotePrefix="0" xfId="0">
      <alignment horizontal="center" vertical="center"/>
    </xf>
    <xf numFmtId="165" fontId="3" fillId="2" borderId="1" applyAlignment="1" pivotButton="0" quotePrefix="0" xfId="0">
      <alignment horizontal="center" vertical="center"/>
    </xf>
    <xf numFmtId="166" fontId="3" fillId="3" borderId="1" applyAlignment="1" pivotButton="0" quotePrefix="0" xfId="0">
      <alignment horizontal="center" vertical="center"/>
    </xf>
    <xf numFmtId="0" fontId="17" fillId="0" borderId="0" pivotButton="0" quotePrefix="0" xfId="0"/>
    <xf numFmtId="0" fontId="17" fillId="0" borderId="0" applyAlignment="1" pivotButton="0" quotePrefix="0" xfId="0">
      <alignment horizontal="center" vertical="center"/>
    </xf>
    <xf numFmtId="168" fontId="17" fillId="4" borderId="1" applyAlignment="1" pivotButton="0" quotePrefix="0" xfId="0">
      <alignment horizontal="center" vertical="center" wrapText="1"/>
    </xf>
    <xf numFmtId="169" fontId="17" fillId="2" borderId="1" applyAlignment="1" pivotButton="0" quotePrefix="0" xfId="0">
      <alignment horizontal="center" vertical="center" wrapText="1"/>
    </xf>
    <xf numFmtId="167" fontId="17" fillId="0" borderId="0" applyAlignment="1" pivotButton="0" quotePrefix="0" xfId="0">
      <alignment horizontal="center" vertical="center"/>
    </xf>
    <xf numFmtId="164" fontId="17" fillId="0" borderId="0" applyAlignment="1" pivotButton="0" quotePrefix="0" xfId="0">
      <alignment horizontal="center" vertical="center" wrapText="1"/>
    </xf>
    <xf numFmtId="9" fontId="17" fillId="0" borderId="0" applyAlignment="1" pivotButton="0" quotePrefix="0" xfId="7">
      <alignment horizontal="center" vertical="center" wrapText="1"/>
    </xf>
    <xf numFmtId="0" fontId="18" fillId="2" borderId="0" applyAlignment="1" pivotButton="0" quotePrefix="0" xfId="0">
      <alignment horizontal="center" vertical="center"/>
    </xf>
    <xf numFmtId="164" fontId="18" fillId="2" borderId="0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 vertical="center"/>
    </xf>
    <xf numFmtId="0" fontId="19" fillId="5" borderId="3" applyAlignment="1" pivotButton="0" quotePrefix="0" xfId="0">
      <alignment horizontal="center" vertical="center"/>
    </xf>
    <xf numFmtId="165" fontId="19" fillId="2" borderId="3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/>
    </xf>
    <xf numFmtId="164" fontId="21" fillId="4" borderId="1" applyAlignment="1" pivotButton="0" quotePrefix="0" xfId="0">
      <alignment horizontal="center" vertical="center"/>
    </xf>
    <xf numFmtId="167" fontId="22" fillId="4" borderId="1" applyAlignment="1" pivotButton="0" quotePrefix="0" xfId="0">
      <alignment horizontal="center" vertical="center"/>
    </xf>
    <xf numFmtId="168" fontId="21" fillId="4" borderId="1" applyAlignment="1" pivotButton="0" quotePrefix="0" xfId="0">
      <alignment horizontal="center" vertical="center"/>
    </xf>
    <xf numFmtId="167" fontId="21" fillId="4" borderId="1" applyAlignment="1" pivotButton="0" quotePrefix="0" xfId="0">
      <alignment horizontal="center" vertical="center"/>
    </xf>
    <xf numFmtId="166" fontId="21" fillId="2" borderId="1" applyAlignment="1" pivotButton="0" quotePrefix="0" xfId="0">
      <alignment horizontal="center" vertical="center"/>
    </xf>
    <xf numFmtId="168" fontId="22" fillId="3" borderId="1" applyAlignment="1" pivotButton="0" quotePrefix="0" xfId="0">
      <alignment horizontal="center" vertical="center"/>
    </xf>
    <xf numFmtId="164" fontId="21" fillId="2" borderId="1" applyAlignment="1" pivotButton="0" quotePrefix="0" xfId="0">
      <alignment horizontal="center" vertical="center"/>
    </xf>
    <xf numFmtId="164" fontId="22" fillId="2" borderId="1" applyAlignment="1" pivotButton="0" quotePrefix="0" xfId="0">
      <alignment horizontal="center" vertical="center"/>
    </xf>
    <xf numFmtId="166" fontId="15" fillId="5" borderId="2" applyAlignment="1" pivotButton="0" quotePrefix="0" xfId="0">
      <alignment horizontal="center" vertical="center"/>
    </xf>
    <xf numFmtId="0" fontId="23" fillId="0" borderId="1" applyAlignment="1" pivotButton="0" quotePrefix="0" xfId="0">
      <alignment horizontal="center" vertical="center"/>
    </xf>
    <xf numFmtId="0" fontId="0" fillId="0" borderId="0" pivotButton="0" quotePrefix="0" xfId="0"/>
    <xf numFmtId="0" fontId="12" fillId="0" borderId="0" applyAlignment="1" pivotButton="0" quotePrefix="0" xfId="0">
      <alignment horizontal="center" vertical="center" wrapText="1"/>
    </xf>
    <xf numFmtId="0" fontId="15" fillId="0" borderId="0" applyAlignment="1" pivotButton="0" quotePrefix="0" xfId="10">
      <alignment vertical="center"/>
    </xf>
    <xf numFmtId="0" fontId="24" fillId="0" borderId="4" applyAlignment="1" pivotButton="0" quotePrefix="0" xfId="10">
      <alignment horizontal="center" vertical="center" wrapText="1"/>
    </xf>
    <xf numFmtId="0" fontId="25" fillId="0" borderId="4" applyAlignment="1" pivotButton="0" quotePrefix="0" xfId="10">
      <alignment horizontal="center" vertical="center" wrapText="1"/>
    </xf>
    <xf numFmtId="0" fontId="25" fillId="7" borderId="4" applyAlignment="1" pivotButton="0" quotePrefix="0" xfId="10">
      <alignment horizontal="center" vertical="center" wrapText="1"/>
    </xf>
    <xf numFmtId="0" fontId="25" fillId="0" borderId="4" applyAlignment="1" pivotButton="0" quotePrefix="0" xfId="10">
      <alignment horizontal="center" vertical="center"/>
    </xf>
    <xf numFmtId="0" fontId="24" fillId="8" borderId="4" applyAlignment="1" pivotButton="0" quotePrefix="0" xfId="10">
      <alignment horizontal="center" vertical="center" wrapText="1"/>
    </xf>
    <xf numFmtId="164" fontId="10" fillId="0" borderId="0" applyAlignment="1" pivotButton="0" quotePrefix="0" xfId="0">
      <alignment horizontal="center" vertical="center"/>
    </xf>
    <xf numFmtId="168" fontId="10" fillId="0" borderId="0" applyAlignment="1" pivotButton="0" quotePrefix="0" xfId="0">
      <alignment horizontal="center" vertical="center"/>
    </xf>
    <xf numFmtId="166" fontId="10" fillId="0" borderId="0" applyAlignment="1" pivotButton="0" quotePrefix="0" xfId="0">
      <alignment horizontal="center" vertical="center"/>
    </xf>
    <xf numFmtId="167" fontId="10" fillId="0" borderId="0" applyAlignment="1" pivotButton="0" quotePrefix="0" xfId="0">
      <alignment horizontal="center" vertical="center"/>
    </xf>
    <xf numFmtId="164" fontId="12" fillId="2" borderId="0" applyAlignment="1" pivotButton="0" quotePrefix="0" xfId="0">
      <alignment horizontal="center" vertical="center"/>
    </xf>
    <xf numFmtId="168" fontId="12" fillId="2" borderId="0" applyAlignment="1" pivotButton="0" quotePrefix="0" xfId="0">
      <alignment horizontal="center" vertical="center"/>
    </xf>
    <xf numFmtId="166" fontId="12" fillId="2" borderId="0" applyAlignment="1" pivotButton="0" quotePrefix="0" xfId="0">
      <alignment horizontal="center" vertical="center"/>
    </xf>
    <xf numFmtId="165" fontId="12" fillId="2" borderId="0" applyAlignment="1" pivotButton="0" quotePrefix="0" xfId="0">
      <alignment horizontal="center" vertical="center"/>
    </xf>
    <xf numFmtId="164" fontId="18" fillId="2" borderId="0" applyAlignment="1" pivotButton="0" quotePrefix="0" xfId="0">
      <alignment horizontal="center" vertical="center"/>
    </xf>
    <xf numFmtId="167" fontId="12" fillId="2" borderId="1" applyAlignment="1" pivotButton="0" quotePrefix="0" xfId="0">
      <alignment horizontal="center" vertical="center"/>
    </xf>
    <xf numFmtId="171" fontId="7" fillId="0" borderId="0" applyAlignment="1" pivotButton="0" quotePrefix="0" xfId="0">
      <alignment horizontal="center" vertical="center"/>
    </xf>
    <xf numFmtId="164" fontId="7" fillId="0" borderId="0" applyAlignment="1" pivotButton="0" quotePrefix="0" xfId="0">
      <alignment horizontal="center" vertical="center"/>
    </xf>
    <xf numFmtId="167" fontId="7" fillId="0" borderId="0" applyAlignment="1" pivotButton="0" quotePrefix="0" xfId="0">
      <alignment horizontal="center" vertical="center"/>
    </xf>
    <xf numFmtId="166" fontId="7" fillId="0" borderId="0" applyAlignment="1" pivotButton="0" quotePrefix="0" xfId="0">
      <alignment horizontal="center" vertical="center"/>
    </xf>
    <xf numFmtId="172" fontId="7" fillId="0" borderId="0" applyAlignment="1" pivotButton="0" quotePrefix="0" xfId="7">
      <alignment horizontal="center" vertical="center"/>
    </xf>
    <xf numFmtId="165" fontId="7" fillId="0" borderId="0" applyAlignment="1" pivotButton="0" quotePrefix="0" xfId="7">
      <alignment horizontal="center" vertical="center"/>
    </xf>
    <xf numFmtId="164" fontId="9" fillId="2" borderId="3" applyAlignment="1" pivotButton="0" quotePrefix="0" xfId="0">
      <alignment horizontal="center" vertical="center"/>
    </xf>
    <xf numFmtId="171" fontId="9" fillId="2" borderId="3" applyAlignment="1" pivotButton="0" quotePrefix="0" xfId="0">
      <alignment horizontal="center" vertical="center"/>
    </xf>
    <xf numFmtId="167" fontId="9" fillId="2" borderId="3" applyAlignment="1" pivotButton="0" quotePrefix="0" xfId="0">
      <alignment horizontal="center" vertical="center"/>
    </xf>
    <xf numFmtId="166" fontId="9" fillId="2" borderId="3" applyAlignment="1" pivotButton="0" quotePrefix="0" xfId="0">
      <alignment horizontal="center" vertical="center"/>
    </xf>
    <xf numFmtId="164" fontId="9" fillId="3" borderId="3" applyAlignment="1" pivotButton="0" quotePrefix="0" xfId="0">
      <alignment horizontal="center" vertical="center"/>
    </xf>
    <xf numFmtId="165" fontId="9" fillId="2" borderId="3" applyAlignment="1" pivotButton="0" quotePrefix="0" xfId="0">
      <alignment horizontal="center" vertical="center"/>
    </xf>
    <xf numFmtId="165" fontId="19" fillId="2" borderId="3" applyAlignment="1" pivotButton="0" quotePrefix="0" xfId="0">
      <alignment horizontal="center" vertical="center"/>
    </xf>
    <xf numFmtId="167" fontId="2" fillId="0" borderId="0" applyAlignment="1" pivotButton="0" quotePrefix="0" xfId="0">
      <alignment horizontal="center" vertical="center"/>
    </xf>
    <xf numFmtId="168" fontId="2" fillId="0" borderId="0" applyAlignment="1" pivotButton="0" quotePrefix="0" xfId="0">
      <alignment horizontal="center" vertical="center"/>
    </xf>
    <xf numFmtId="166" fontId="2" fillId="0" borderId="0" applyAlignment="1" pivotButton="0" quotePrefix="0" xfId="0">
      <alignment horizontal="center" vertical="center"/>
    </xf>
    <xf numFmtId="169" fontId="2" fillId="0" borderId="0" applyAlignment="1" pivotButton="0" quotePrefix="0" xfId="0">
      <alignment horizontal="center" vertical="center"/>
    </xf>
    <xf numFmtId="164" fontId="2" fillId="0" borderId="0" applyAlignment="1" pivotButton="0" quotePrefix="0" xfId="0">
      <alignment horizontal="center" vertical="center"/>
    </xf>
    <xf numFmtId="164" fontId="5" fillId="0" borderId="0" applyAlignment="1" pivotButton="0" quotePrefix="0" xfId="0">
      <alignment horizontal="center" vertical="center"/>
    </xf>
    <xf numFmtId="167" fontId="5" fillId="0" borderId="0" applyAlignment="1" pivotButton="0" quotePrefix="0" xfId="7">
      <alignment horizontal="center" vertical="center"/>
    </xf>
    <xf numFmtId="170" fontId="2" fillId="0" borderId="0" applyAlignment="1" pivotButton="0" quotePrefix="0" xfId="0">
      <alignment horizontal="center" vertical="center"/>
    </xf>
    <xf numFmtId="164" fontId="21" fillId="4" borderId="1" applyAlignment="1" pivotButton="0" quotePrefix="0" xfId="0">
      <alignment horizontal="center" vertical="center"/>
    </xf>
    <xf numFmtId="167" fontId="22" fillId="4" borderId="1" applyAlignment="1" pivotButton="0" quotePrefix="0" xfId="0">
      <alignment horizontal="center" vertical="center"/>
    </xf>
    <xf numFmtId="168" fontId="8" fillId="4" borderId="1" applyAlignment="1" pivotButton="0" quotePrefix="0" xfId="0">
      <alignment horizontal="center" vertical="center"/>
    </xf>
    <xf numFmtId="168" fontId="17" fillId="4" borderId="1" applyAlignment="1" pivotButton="0" quotePrefix="0" xfId="0">
      <alignment horizontal="center" vertical="center" wrapText="1"/>
    </xf>
    <xf numFmtId="168" fontId="21" fillId="4" borderId="1" applyAlignment="1" pivotButton="0" quotePrefix="0" xfId="0">
      <alignment horizontal="center" vertical="center"/>
    </xf>
    <xf numFmtId="167" fontId="21" fillId="4" borderId="1" applyAlignment="1" pivotButton="0" quotePrefix="0" xfId="0">
      <alignment horizontal="center" vertical="center"/>
    </xf>
    <xf numFmtId="166" fontId="21" fillId="2" borderId="1" applyAlignment="1" pivotButton="0" quotePrefix="0" xfId="0">
      <alignment horizontal="center" vertical="center"/>
    </xf>
    <xf numFmtId="169" fontId="8" fillId="2" borderId="1" applyAlignment="1" pivotButton="0" quotePrefix="0" xfId="0">
      <alignment horizontal="center" vertical="center"/>
    </xf>
    <xf numFmtId="166" fontId="8" fillId="2" borderId="1" applyAlignment="1" pivotButton="0" quotePrefix="0" xfId="0">
      <alignment horizontal="center" vertical="center"/>
    </xf>
    <xf numFmtId="169" fontId="17" fillId="2" borderId="1" applyAlignment="1" pivotButton="0" quotePrefix="0" xfId="0">
      <alignment horizontal="center" vertical="center" wrapText="1"/>
    </xf>
    <xf numFmtId="168" fontId="22" fillId="3" borderId="1" applyAlignment="1" pivotButton="0" quotePrefix="0" xfId="0">
      <alignment horizontal="center" vertical="center"/>
    </xf>
    <xf numFmtId="164" fontId="21" fillId="2" borderId="1" applyAlignment="1" pivotButton="0" quotePrefix="0" xfId="0">
      <alignment horizontal="center" vertical="center"/>
    </xf>
    <xf numFmtId="164" fontId="22" fillId="2" borderId="1" applyAlignment="1" pivotButton="0" quotePrefix="0" xfId="0">
      <alignment horizontal="center" vertical="center"/>
    </xf>
    <xf numFmtId="166" fontId="15" fillId="5" borderId="2" applyAlignment="1" pivotButton="0" quotePrefix="0" xfId="0">
      <alignment horizontal="center" vertical="center"/>
    </xf>
    <xf numFmtId="167" fontId="17" fillId="0" borderId="0" applyAlignment="1" pivotButton="0" quotePrefix="0" xfId="0">
      <alignment horizontal="center" vertical="center"/>
    </xf>
    <xf numFmtId="165" fontId="2" fillId="0" borderId="0" applyAlignment="1" pivotButton="0" quotePrefix="0" xfId="0">
      <alignment horizontal="center" vertical="center"/>
    </xf>
    <xf numFmtId="164" fontId="3" fillId="2" borderId="1" applyAlignment="1" pivotButton="0" quotePrefix="0" xfId="0">
      <alignment horizontal="center" vertical="center"/>
    </xf>
    <xf numFmtId="165" fontId="3" fillId="2" borderId="1" applyAlignment="1" pivotButton="0" quotePrefix="0" xfId="0">
      <alignment horizontal="center" vertical="center"/>
    </xf>
    <xf numFmtId="166" fontId="3" fillId="3" borderId="1" applyAlignment="1" pivotButton="0" quotePrefix="0" xfId="0">
      <alignment horizontal="center" vertical="center"/>
    </xf>
    <xf numFmtId="164" fontId="17" fillId="0" borderId="0" applyAlignment="1" pivotButton="0" quotePrefix="0" xfId="0">
      <alignment horizontal="center" vertical="center" wrapText="1"/>
    </xf>
    <xf numFmtId="0" fontId="0" fillId="10" borderId="5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 vertical="center"/>
    </xf>
    <xf numFmtId="0" fontId="0" fillId="0" borderId="5" pivotButton="0" quotePrefix="0" xfId="0"/>
    <xf numFmtId="0" fontId="0" fillId="11" borderId="5" applyAlignment="1" pivotButton="0" quotePrefix="0" xfId="0">
      <alignment horizontal="center" vertical="center"/>
    </xf>
    <xf numFmtId="0" fontId="0" fillId="12" borderId="5" applyAlignment="1" pivotButton="0" quotePrefix="0" xfId="0">
      <alignment horizontal="center" vertical="center"/>
    </xf>
    <xf numFmtId="0" fontId="0" fillId="12" borderId="5" pivotButton="0" quotePrefix="0" xfId="0"/>
    <xf numFmtId="0" fontId="26" fillId="10" borderId="5" applyAlignment="1" pivotButton="0" quotePrefix="0" xfId="0">
      <alignment horizontal="center" vertical="center"/>
    </xf>
    <xf numFmtId="0" fontId="26" fillId="0" borderId="5" applyAlignment="1" pivotButton="0" quotePrefix="0" xfId="0">
      <alignment horizontal="center" vertical="center"/>
    </xf>
    <xf numFmtId="2" fontId="26" fillId="0" borderId="5" applyAlignment="1" pivotButton="0" quotePrefix="0" xfId="0">
      <alignment horizontal="center" vertical="center"/>
    </xf>
    <xf numFmtId="176" fontId="26" fillId="0" borderId="5" applyAlignment="1" pivotButton="0" quotePrefix="0" xfId="0">
      <alignment horizontal="center" vertical="center"/>
    </xf>
    <xf numFmtId="0" fontId="26" fillId="0" borderId="0" applyAlignment="1" pivotButton="0" quotePrefix="0" xfId="0">
      <alignment horizontal="center" vertical="center"/>
    </xf>
    <xf numFmtId="0" fontId="26" fillId="0" borderId="0" pivotButton="0" quotePrefix="0" xfId="0"/>
    <xf numFmtId="2" fontId="26" fillId="0" borderId="0" applyAlignment="1" pivotButton="0" quotePrefix="0" xfId="0">
      <alignment horizontal="center" vertical="center"/>
    </xf>
    <xf numFmtId="176" fontId="26" fillId="0" borderId="0" applyAlignment="1" pivotButton="0" quotePrefix="0" xfId="0">
      <alignment horizontal="center" vertical="center"/>
    </xf>
    <xf numFmtId="176" fontId="26" fillId="9" borderId="0" applyAlignment="1" pivotButton="0" quotePrefix="0" xfId="0">
      <alignment horizontal="center" vertical="center"/>
    </xf>
    <xf numFmtId="0" fontId="26" fillId="0" borderId="7" pivotButton="0" quotePrefix="0" xfId="0"/>
    <xf numFmtId="0" fontId="26" fillId="0" borderId="8" pivotButton="0" quotePrefix="0" xfId="0"/>
    <xf numFmtId="0" fontId="26" fillId="11" borderId="5" applyAlignment="1" pivotButton="0" quotePrefix="0" xfId="0">
      <alignment horizontal="center" vertical="center"/>
    </xf>
    <xf numFmtId="0" fontId="26" fillId="12" borderId="5" applyAlignment="1" pivotButton="0" quotePrefix="0" xfId="0">
      <alignment horizontal="center" vertical="center"/>
    </xf>
    <xf numFmtId="0" fontId="26" fillId="0" borderId="5" pivotButton="0" quotePrefix="0" xfId="0"/>
    <xf numFmtId="2" fontId="26" fillId="0" borderId="0" pivotButton="0" quotePrefix="0" xfId="0"/>
    <xf numFmtId="176" fontId="26" fillId="0" borderId="0" pivotButton="0" quotePrefix="0" xfId="0"/>
    <xf numFmtId="2" fontId="26" fillId="0" borderId="5" pivotButton="0" quotePrefix="0" xfId="0"/>
    <xf numFmtId="0" fontId="26" fillId="0" borderId="5" applyAlignment="1" pivotButton="0" quotePrefix="0" xfId="10">
      <alignment horizontal="center" vertical="center" wrapText="1"/>
    </xf>
    <xf numFmtId="0" fontId="26" fillId="7" borderId="5" applyAlignment="1" pivotButton="0" quotePrefix="0" xfId="10">
      <alignment horizontal="center" vertical="center" wrapText="1"/>
    </xf>
    <xf numFmtId="0" fontId="26" fillId="0" borderId="5" applyAlignment="1" pivotButton="0" quotePrefix="0" xfId="10">
      <alignment horizontal="center" vertical="center"/>
    </xf>
    <xf numFmtId="0" fontId="26" fillId="8" borderId="5" applyAlignment="1" pivotButton="0" quotePrefix="0" xfId="10">
      <alignment horizontal="center" vertical="center" wrapText="1"/>
    </xf>
    <xf numFmtId="1" fontId="26" fillId="0" borderId="5" applyAlignment="1" pivotButton="0" quotePrefix="0" xfId="0">
      <alignment horizontal="center" vertical="center"/>
    </xf>
    <xf numFmtId="10" fontId="26" fillId="0" borderId="5" applyAlignment="1" pivotButton="0" quotePrefix="0" xfId="0">
      <alignment horizontal="center" vertical="center"/>
    </xf>
  </cellXfs>
  <cellStyles count="11">
    <cellStyle name="常规" xfId="0" builtinId="0"/>
    <cellStyle name="常规 2" xfId="1"/>
    <cellStyle name="常规 2 4 2 2" xfId="2"/>
    <cellStyle name="常规 13" xfId="3"/>
    <cellStyle name="Normal_tmc program 2003may24 (Excel 5.0)" xfId="4"/>
    <cellStyle name="常规 156 3" xfId="5"/>
    <cellStyle name="常规 31" xfId="6"/>
    <cellStyle name="百分比" xfId="7" builtinId="5"/>
    <cellStyle name="常规 10 3" xfId="8"/>
    <cellStyle name="常规 130 3 2" xfId="9"/>
    <cellStyle name="常规 3" xfId="10"/>
  </cellStyles>
  <dxfs count="104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rgb="00FFE0E0"/>
          <bgColor rgb="00FFE0E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S265"/>
  <sheetViews>
    <sheetView topLeftCell="F1" zoomScale="85" zoomScaleNormal="85" workbookViewId="0">
      <selection activeCell="S2" sqref="S2"/>
    </sheetView>
  </sheetViews>
  <sheetFormatPr baseColWidth="8" defaultColWidth="8.75" defaultRowHeight="30" customHeight="1"/>
  <cols>
    <col width="12" customWidth="1" style="27" min="1" max="1"/>
    <col width="20" customWidth="1" style="27" min="2" max="2"/>
    <col width="22" customWidth="1" style="84" min="3" max="3"/>
    <col width="26" customWidth="1" style="84" min="4" max="4"/>
    <col width="52" customWidth="1" style="85" min="5" max="5"/>
    <col width="60" customWidth="1" style="86" min="6" max="6"/>
    <col width="25" customWidth="1" style="27" min="7" max="7"/>
    <col width="28" customWidth="1" style="27" min="8" max="8"/>
    <col width="27" customWidth="1" style="84" min="9" max="9"/>
    <col width="8" customWidth="1" style="87" min="10" max="10"/>
    <col width="19" customWidth="1" style="76" min="11" max="11"/>
    <col width="43" customWidth="1" style="87" min="12" max="12"/>
    <col width="21" customWidth="1" style="27" min="13" max="13"/>
    <col width="22" customWidth="1" style="27" min="14" max="14"/>
    <col width="23" customWidth="1" style="27" min="15" max="15"/>
    <col width="12" customWidth="1" style="27" min="16" max="16"/>
    <col width="10" customWidth="1" style="27" min="17" max="17"/>
    <col width="16" customWidth="1" style="27" min="18" max="18"/>
    <col width="12" customWidth="1" style="27" min="19" max="19"/>
    <col width="8.75" customWidth="1" style="27" min="20" max="21"/>
    <col width="9.125" customWidth="1" style="27" min="22" max="22"/>
    <col width="8.75" customWidth="1" style="27" min="23" max="29"/>
    <col width="8.75" customWidth="1" style="27" min="30" max="16384"/>
  </cols>
  <sheetData>
    <row r="1" ht="90" customFormat="1" customHeight="1" s="26">
      <c r="A1" s="60" t="inlineStr">
        <is>
          <t>Lane编号</t>
        </is>
      </c>
      <c r="B1" s="32" t="inlineStr">
        <is>
          <t>文库编号</t>
        </is>
      </c>
      <c r="C1" s="88" t="inlineStr">
        <is>
          <t>Qubit浓度（ng/ul）</t>
        </is>
      </c>
      <c r="D1" s="88" t="inlineStr">
        <is>
          <t>数据量（G)</t>
        </is>
      </c>
      <c r="E1" s="89" t="inlineStr">
        <is>
          <t>文库摩尔质量（nM）</t>
        </is>
      </c>
      <c r="F1" s="90" t="inlineStr">
        <is>
          <t>最终取样体积（ul）</t>
        </is>
      </c>
      <c r="G1" s="32" t="inlineStr">
        <is>
          <t>文库类型</t>
        </is>
      </c>
      <c r="H1" s="91" t="inlineStr">
        <is>
          <t>客户单位</t>
        </is>
      </c>
      <c r="I1" s="92" t="inlineStr">
        <is>
          <t>TE Buffer补充体积（uL）</t>
        </is>
      </c>
      <c r="J1" s="93" t="inlineStr">
        <is>
          <t>孔号</t>
        </is>
      </c>
      <c r="K1" s="93" t="inlineStr">
        <is>
          <t>板号</t>
        </is>
      </c>
      <c r="L1" s="93" t="inlineStr">
        <is>
          <t>备注</t>
        </is>
      </c>
      <c r="M1" s="62" t="inlineStr">
        <is>
          <t>片段</t>
        </is>
      </c>
      <c r="N1" s="62" t="inlineStr">
        <is>
          <t>Qubit浓度（ng/ul）</t>
        </is>
      </c>
      <c r="O1" s="62" t="inlineStr">
        <is>
          <t>文库结构</t>
        </is>
      </c>
      <c r="P1" s="62" t="inlineStr">
        <is>
          <t>磷酸化*</t>
        </is>
      </c>
      <c r="Q1" s="62" t="inlineStr">
        <is>
          <t>环化*</t>
        </is>
      </c>
      <c r="R1" s="77" t="inlineStr">
        <is>
          <t>人工检测结果</t>
        </is>
      </c>
      <c r="S1" s="77" t="inlineStr">
        <is>
          <t>人工备注</t>
        </is>
      </c>
    </row>
    <row r="2" ht="30" customHeight="1" s="76">
      <c r="A2" s="143" t="inlineStr">
        <is>
          <t>B1</t>
        </is>
      </c>
      <c r="B2" s="144" t="inlineStr">
        <is>
          <t>HGC-Lib-26094104</t>
        </is>
      </c>
      <c r="C2" s="144" t="n">
        <v>2.26</v>
      </c>
      <c r="D2" s="145" t="n">
        <v>800</v>
      </c>
      <c r="E2" s="146">
        <f>ROUND(D2/SUM(D2:D2)*IF(C2="",50,10.0),3)</f>
        <v/>
      </c>
      <c r="F2" s="146">
        <f>ROUND(E2/C2*G3,3)</f>
        <v/>
      </c>
      <c r="G2" s="144" t="inlineStr">
        <is>
          <t>HIC文库</t>
        </is>
      </c>
      <c r="H2" s="144" t="inlineStr">
        <is>
          <t>安徽医科大学第一附属医院</t>
        </is>
      </c>
      <c r="I2" s="146" t="n"/>
      <c r="J2" s="144" t="n"/>
      <c r="K2" s="144" t="n"/>
      <c r="L2" s="147" t="inlineStr">
        <is>
          <t>加测_260727_LH00128_0652_A23WFHHLT4</t>
        </is>
      </c>
      <c r="M2" s="147" t="n">
        <v>345</v>
      </c>
      <c r="N2" s="147" t="n">
        <v>2.26</v>
      </c>
      <c r="O2" s="147" t="n"/>
      <c r="P2" s="147" t="n"/>
      <c r="Q2" s="147" t="n"/>
      <c r="R2" s="147" t="inlineStr">
        <is>
          <t>A</t>
        </is>
      </c>
      <c r="S2" s="147" t="n"/>
    </row>
    <row r="3" ht="30" customHeight="1" s="76">
      <c r="A3" s="148" t="n"/>
      <c r="B3" s="147" t="n">
        <v>1</v>
      </c>
      <c r="C3" s="148" t="n"/>
      <c r="D3" s="149">
        <f>ROUND(SUM(D2:D2),2)</f>
        <v/>
      </c>
      <c r="E3" s="150">
        <f>ROUND(SUM(E2:E2),3)</f>
        <v/>
      </c>
      <c r="F3" s="150">
        <f>IF(G3&gt;1,ROUND(SUM(F2:F2)/G3*2,3),ROUND(SUM(F2:F2),3))</f>
        <v/>
      </c>
      <c r="G3" s="147" t="n">
        <v>1</v>
      </c>
      <c r="H3" s="148" t="n"/>
      <c r="I3" s="151">
        <f>ROUND(20-F3,3)</f>
        <v/>
      </c>
      <c r="J3" s="148" t="n"/>
      <c r="K3" s="148" t="n"/>
      <c r="L3" s="148" t="n"/>
      <c r="M3" s="147">
        <f>AVERAGE(M2:M2)</f>
        <v/>
      </c>
      <c r="N3" s="148" t="n"/>
      <c r="O3" s="148" t="n"/>
      <c r="P3" s="148" t="n"/>
      <c r="Q3" s="148" t="n"/>
      <c r="R3" s="148" t="n"/>
      <c r="S3" s="148" t="n"/>
    </row>
    <row r="4" ht="30" customHeight="1" s="76">
      <c r="A4" s="144" t="inlineStr">
        <is>
          <t>B2</t>
        </is>
      </c>
      <c r="B4" s="144" t="inlineStr">
        <is>
          <t>HGC-Lib-26097554</t>
        </is>
      </c>
      <c r="C4" s="144" t="n">
        <v>54.75</v>
      </c>
      <c r="D4" s="145" t="n">
        <v>8.5</v>
      </c>
      <c r="E4" s="146">
        <f>ROUND(D4/SUM(D4:D7)*IF(C4="",50,50.0),3)</f>
        <v/>
      </c>
      <c r="F4" s="146">
        <f>ROUND(E4/C4*G8,3)</f>
        <v/>
      </c>
      <c r="G4" s="144" t="inlineStr">
        <is>
          <t>10X-3-转录组</t>
        </is>
      </c>
      <c r="H4" s="144" t="inlineStr">
        <is>
          <t>广州奥智生物科技有限公司</t>
        </is>
      </c>
      <c r="I4" s="146" t="n"/>
      <c r="J4" s="144" t="n"/>
      <c r="K4" s="144" t="n"/>
      <c r="L4" s="147" t="inlineStr">
        <is>
          <t>补测_260801_R21016100250033_ML150026412</t>
        </is>
      </c>
      <c r="M4" s="147" t="n"/>
      <c r="N4" s="147" t="n">
        <v>54.75</v>
      </c>
      <c r="O4" s="147" t="inlineStr">
        <is>
          <t>Illumina Truseq文库</t>
        </is>
      </c>
      <c r="P4" s="147" t="inlineStr">
        <is>
          <t>未磷酸化</t>
        </is>
      </c>
      <c r="Q4" s="147" t="inlineStr">
        <is>
          <t>未环化</t>
        </is>
      </c>
      <c r="R4" s="147" t="inlineStr">
        <is>
          <t>A</t>
        </is>
      </c>
      <c r="S4" s="147" t="n"/>
    </row>
    <row r="5" ht="30" customHeight="1" s="76">
      <c r="A5" s="152" t="n"/>
      <c r="B5" s="144" t="inlineStr">
        <is>
          <t>HGC-Lib-26097556</t>
        </is>
      </c>
      <c r="C5" s="144" t="n">
        <v>56</v>
      </c>
      <c r="D5" s="145" t="n">
        <v>8</v>
      </c>
      <c r="E5" s="146">
        <f>ROUND(D5/SUM(D4:D7)*IF(C5="",50,50.0),3)</f>
        <v/>
      </c>
      <c r="F5" s="146">
        <f>ROUND(E5/C5*G8,3)</f>
        <v/>
      </c>
      <c r="G5" s="144" t="inlineStr">
        <is>
          <t>10X-3-转录组</t>
        </is>
      </c>
      <c r="H5" s="144" t="inlineStr">
        <is>
          <t>广州奥智生物科技有限公司</t>
        </is>
      </c>
      <c r="I5" s="146" t="n"/>
      <c r="J5" s="144" t="n"/>
      <c r="K5" s="144" t="n"/>
      <c r="L5" s="147" t="inlineStr">
        <is>
          <t>补测_260801_R21016100250033_ML150026412</t>
        </is>
      </c>
      <c r="M5" s="147" t="n"/>
      <c r="N5" s="147" t="n">
        <v>56</v>
      </c>
      <c r="O5" s="147" t="inlineStr">
        <is>
          <t>Illumina Truseq文库</t>
        </is>
      </c>
      <c r="P5" s="147" t="inlineStr">
        <is>
          <t>未磷酸化</t>
        </is>
      </c>
      <c r="Q5" s="147" t="inlineStr">
        <is>
          <t>未环化</t>
        </is>
      </c>
      <c r="R5" s="147" t="inlineStr">
        <is>
          <t>A</t>
        </is>
      </c>
      <c r="S5" s="147" t="n"/>
    </row>
    <row r="6" ht="30" customHeight="1" s="76">
      <c r="A6" s="152" t="n"/>
      <c r="B6" s="144" t="inlineStr">
        <is>
          <t>HGC-Lib-26097558</t>
        </is>
      </c>
      <c r="C6" s="144" t="n">
        <v>68.68000000000001</v>
      </c>
      <c r="D6" s="145" t="n">
        <v>3</v>
      </c>
      <c r="E6" s="146">
        <f>ROUND(D6/SUM(D4:D7)*IF(C6="",50,50.0),3)</f>
        <v/>
      </c>
      <c r="F6" s="146">
        <f>ROUND(E6/C6*G8,3)</f>
        <v/>
      </c>
      <c r="G6" s="144" t="inlineStr">
        <is>
          <t>10X-3-转录组</t>
        </is>
      </c>
      <c r="H6" s="144" t="inlineStr">
        <is>
          <t>广州奥智生物科技有限公司</t>
        </is>
      </c>
      <c r="I6" s="146" t="n"/>
      <c r="J6" s="144" t="n"/>
      <c r="K6" s="144" t="n"/>
      <c r="L6" s="147" t="inlineStr">
        <is>
          <t>补测_260801_R21016100250033_ML150026412</t>
        </is>
      </c>
      <c r="M6" s="147" t="n"/>
      <c r="N6" s="147" t="n">
        <v>68.68000000000001</v>
      </c>
      <c r="O6" s="147" t="inlineStr">
        <is>
          <t>Illumina Truseq文库</t>
        </is>
      </c>
      <c r="P6" s="147" t="inlineStr">
        <is>
          <t>未磷酸化</t>
        </is>
      </c>
      <c r="Q6" s="147" t="inlineStr">
        <is>
          <t>未环化</t>
        </is>
      </c>
      <c r="R6" s="147" t="inlineStr">
        <is>
          <t>A</t>
        </is>
      </c>
      <c r="S6" s="147" t="n"/>
    </row>
    <row r="7" ht="30" customHeight="1" s="76">
      <c r="A7" s="153" t="n"/>
      <c r="B7" s="144" t="inlineStr">
        <is>
          <t>HGC-Lib-26097559</t>
        </is>
      </c>
      <c r="C7" s="144" t="n">
        <v>58.23</v>
      </c>
      <c r="D7" s="145" t="n">
        <v>8.5</v>
      </c>
      <c r="E7" s="146">
        <f>ROUND(D7/SUM(D4:D7)*IF(C7="",50,50.0),3)</f>
        <v/>
      </c>
      <c r="F7" s="146">
        <f>ROUND(E7/C7*G8,3)</f>
        <v/>
      </c>
      <c r="G7" s="144" t="inlineStr">
        <is>
          <t>10X-3-转录组</t>
        </is>
      </c>
      <c r="H7" s="144" t="inlineStr">
        <is>
          <t>广州奥智生物科技有限公司</t>
        </is>
      </c>
      <c r="I7" s="146" t="n"/>
      <c r="J7" s="144" t="n"/>
      <c r="K7" s="144" t="n"/>
      <c r="L7" s="147" t="inlineStr">
        <is>
          <t>补测_260801_R21016100250033_ML150026412</t>
        </is>
      </c>
      <c r="M7" s="147" t="n"/>
      <c r="N7" s="147" t="n">
        <v>58.23</v>
      </c>
      <c r="O7" s="147" t="inlineStr">
        <is>
          <t>Illumina Truseq文库</t>
        </is>
      </c>
      <c r="P7" s="147" t="inlineStr">
        <is>
          <t>未磷酸化</t>
        </is>
      </c>
      <c r="Q7" s="147" t="inlineStr">
        <is>
          <t>未环化</t>
        </is>
      </c>
      <c r="R7" s="147" t="inlineStr">
        <is>
          <t>A</t>
        </is>
      </c>
      <c r="S7" s="147" t="n"/>
    </row>
    <row r="8" ht="30" customHeight="1" s="76">
      <c r="A8" s="148" t="n"/>
      <c r="B8" s="147" t="n">
        <v>4</v>
      </c>
      <c r="C8" s="148" t="n"/>
      <c r="D8" s="149">
        <f>ROUND(SUM(D4:D7),2)</f>
        <v/>
      </c>
      <c r="E8" s="150">
        <f>ROUND(SUM(E4:E7),3)</f>
        <v/>
      </c>
      <c r="F8" s="150">
        <f>IF(G8&gt;1,ROUND(SUM(F4:F7)/G8*2,3),ROUND(SUM(F4:F7),3))</f>
        <v/>
      </c>
      <c r="G8" s="147" t="n">
        <v>7</v>
      </c>
      <c r="H8" s="148" t="n"/>
      <c r="I8" s="151">
        <f>ROUND(20-F8,3)</f>
        <v/>
      </c>
      <c r="J8" s="148" t="n"/>
      <c r="K8" s="148" t="n"/>
      <c r="L8" s="148" t="n"/>
      <c r="M8" s="147">
        <f>AVERAGE(M4:M7)</f>
        <v/>
      </c>
      <c r="N8" s="148" t="n"/>
      <c r="O8" s="148" t="n"/>
      <c r="P8" s="148" t="n"/>
      <c r="Q8" s="148" t="n"/>
      <c r="R8" s="148" t="n"/>
      <c r="S8" s="148" t="n"/>
    </row>
    <row r="9" ht="30" customHeight="1" s="76">
      <c r="A9" s="144" t="inlineStr">
        <is>
          <t>B3</t>
        </is>
      </c>
      <c r="B9" s="144" t="inlineStr">
        <is>
          <t>HGC-Lib-26097555</t>
        </is>
      </c>
      <c r="C9" s="144" t="n">
        <v>51.45</v>
      </c>
      <c r="D9" s="145" t="n">
        <v>14.5</v>
      </c>
      <c r="E9" s="146">
        <f>ROUND(D9/SUM(D9:D10)*IF(C9="",50,50.0),3)</f>
        <v/>
      </c>
      <c r="F9" s="146">
        <f>ROUND(E9/C9*G11,3)</f>
        <v/>
      </c>
      <c r="G9" s="144" t="inlineStr">
        <is>
          <t>10X-3-转录组</t>
        </is>
      </c>
      <c r="H9" s="144" t="inlineStr">
        <is>
          <t>广州奥智生物科技有限公司</t>
        </is>
      </c>
      <c r="I9" s="146" t="n"/>
      <c r="J9" s="144" t="n"/>
      <c r="K9" s="144" t="n"/>
      <c r="L9" s="147" t="inlineStr">
        <is>
          <t>补测_260801_R21016100250033_ML150026412</t>
        </is>
      </c>
      <c r="M9" s="147" t="n"/>
      <c r="N9" s="147" t="n">
        <v>51.45</v>
      </c>
      <c r="O9" s="147" t="inlineStr">
        <is>
          <t>Illumina Truseq文库</t>
        </is>
      </c>
      <c r="P9" s="147" t="inlineStr">
        <is>
          <t>未磷酸化</t>
        </is>
      </c>
      <c r="Q9" s="147" t="inlineStr">
        <is>
          <t>未环化</t>
        </is>
      </c>
      <c r="R9" s="147" t="inlineStr">
        <is>
          <t>A</t>
        </is>
      </c>
      <c r="S9" s="147" t="n"/>
    </row>
    <row r="10" ht="30" customHeight="1" s="76">
      <c r="A10" s="153" t="n"/>
      <c r="B10" s="144" t="inlineStr">
        <is>
          <t>HGC-Lib-26097560</t>
        </is>
      </c>
      <c r="C10" s="144" t="n">
        <v>30.27</v>
      </c>
      <c r="D10" s="145" t="n">
        <v>8.5</v>
      </c>
      <c r="E10" s="146">
        <f>ROUND(D10/SUM(D9:D10)*IF(C10="",50,50.0),3)</f>
        <v/>
      </c>
      <c r="F10" s="146">
        <f>ROUND(E10/C10*G11,3)</f>
        <v/>
      </c>
      <c r="G10" s="144" t="inlineStr">
        <is>
          <t>10X-3-转录组</t>
        </is>
      </c>
      <c r="H10" s="144" t="inlineStr">
        <is>
          <t>广州奥智生物科技有限公司</t>
        </is>
      </c>
      <c r="I10" s="146" t="n"/>
      <c r="J10" s="144" t="n"/>
      <c r="K10" s="144" t="n"/>
      <c r="L10" s="147" t="inlineStr">
        <is>
          <t>补测_260801_R21016100250033_ML150026412</t>
        </is>
      </c>
      <c r="M10" s="147" t="n"/>
      <c r="N10" s="147" t="n">
        <v>30.27</v>
      </c>
      <c r="O10" s="147" t="inlineStr">
        <is>
          <t>Illumina Truseq文库</t>
        </is>
      </c>
      <c r="P10" s="147" t="inlineStr">
        <is>
          <t>未磷酸化</t>
        </is>
      </c>
      <c r="Q10" s="147" t="inlineStr">
        <is>
          <t>未环化</t>
        </is>
      </c>
      <c r="R10" s="147" t="inlineStr">
        <is>
          <t>A</t>
        </is>
      </c>
      <c r="S10" s="147" t="n"/>
    </row>
    <row r="11" ht="30" customHeight="1" s="76">
      <c r="A11" s="148" t="n"/>
      <c r="B11" s="147" t="n">
        <v>2</v>
      </c>
      <c r="C11" s="148" t="n"/>
      <c r="D11" s="149">
        <f>ROUND(SUM(D9:D10),2)</f>
        <v/>
      </c>
      <c r="E11" s="150">
        <f>ROUND(SUM(E9:E10),3)</f>
        <v/>
      </c>
      <c r="F11" s="150">
        <f>IF(G11&gt;1,ROUND(SUM(F9:F10)/G11*2,3),ROUND(SUM(F9:F10),3))</f>
        <v/>
      </c>
      <c r="G11" s="147" t="n">
        <v>1</v>
      </c>
      <c r="H11" s="148" t="n"/>
      <c r="I11" s="151">
        <f>ROUND(20-F11,3)</f>
        <v/>
      </c>
      <c r="J11" s="148" t="n"/>
      <c r="K11" s="148" t="n"/>
      <c r="L11" s="148" t="n"/>
      <c r="M11" s="147">
        <f>AVERAGE(M9:M10)</f>
        <v/>
      </c>
      <c r="N11" s="148" t="n"/>
      <c r="O11" s="148" t="n"/>
      <c r="P11" s="148" t="n"/>
      <c r="Q11" s="148" t="n"/>
      <c r="R11" s="148" t="n"/>
      <c r="S11" s="148" t="n"/>
    </row>
    <row r="12" ht="30" customHeight="1" s="76">
      <c r="A12" s="144" t="inlineStr">
        <is>
          <t>B4</t>
        </is>
      </c>
      <c r="B12" s="144" t="inlineStr">
        <is>
          <t>HGC-Lib-26097290</t>
        </is>
      </c>
      <c r="C12" s="144" t="n">
        <v>23.89</v>
      </c>
      <c r="D12" s="145" t="n">
        <v>8</v>
      </c>
      <c r="E12" s="146">
        <f>ROUND(D12/SUM(D12:D84)*IF(C12="",50,50.0),3)</f>
        <v/>
      </c>
      <c r="F12" s="146">
        <f>ROUND(E12/C12*G85,3)</f>
        <v/>
      </c>
      <c r="G12" s="144" t="inlineStr">
        <is>
          <t>宏基因组</t>
        </is>
      </c>
      <c r="H12" s="144" t="inlineStr">
        <is>
          <t>广州奥智生物科技有限公司</t>
        </is>
      </c>
      <c r="I12" s="146" t="n"/>
      <c r="J12" s="144" t="n"/>
      <c r="K12" s="144" t="inlineStr">
        <is>
          <t>0727-1-2-宏_B9</t>
        </is>
      </c>
      <c r="L12" s="147" t="n"/>
      <c r="M12" s="147" t="n"/>
      <c r="N12" s="147" t="n">
        <v>23.89</v>
      </c>
      <c r="O12" s="147" t="inlineStr">
        <is>
          <t>Illumina Truseq文库</t>
        </is>
      </c>
      <c r="P12" s="147" t="inlineStr">
        <is>
          <t>未磷酸化</t>
        </is>
      </c>
      <c r="Q12" s="147" t="inlineStr">
        <is>
          <t>未环化</t>
        </is>
      </c>
      <c r="R12" s="147" t="inlineStr">
        <is>
          <t>A</t>
        </is>
      </c>
      <c r="S12" s="147" t="n"/>
    </row>
    <row r="13" ht="30" customHeight="1" s="76">
      <c r="A13" s="152" t="n"/>
      <c r="B13" s="144" t="inlineStr">
        <is>
          <t>HGC-Lib-26097291</t>
        </is>
      </c>
      <c r="C13" s="144" t="n">
        <v>38.94</v>
      </c>
      <c r="D13" s="145" t="n">
        <v>8</v>
      </c>
      <c r="E13" s="146">
        <f>ROUND(D13/SUM(D12:D84)*IF(C13="",50,50.0),3)</f>
        <v/>
      </c>
      <c r="F13" s="146">
        <f>ROUND(E13/C13*G85,3)</f>
        <v/>
      </c>
      <c r="G13" s="144" t="inlineStr">
        <is>
          <t>宏基因组</t>
        </is>
      </c>
      <c r="H13" s="144" t="inlineStr">
        <is>
          <t>广州奥智生物科技有限公司</t>
        </is>
      </c>
      <c r="I13" s="146" t="n"/>
      <c r="J13" s="144" t="n"/>
      <c r="K13" s="144" t="inlineStr">
        <is>
          <t>0727-1-2-宏_B10</t>
        </is>
      </c>
      <c r="L13" s="147" t="n"/>
      <c r="M13" s="147" t="n"/>
      <c r="N13" s="147" t="n">
        <v>38.94</v>
      </c>
      <c r="O13" s="147" t="inlineStr">
        <is>
          <t>Illumina Truseq文库</t>
        </is>
      </c>
      <c r="P13" s="147" t="inlineStr">
        <is>
          <t>未磷酸化</t>
        </is>
      </c>
      <c r="Q13" s="147" t="inlineStr">
        <is>
          <t>未环化</t>
        </is>
      </c>
      <c r="R13" s="147" t="inlineStr">
        <is>
          <t>A</t>
        </is>
      </c>
      <c r="S13" s="147" t="n"/>
    </row>
    <row r="14" ht="30" customHeight="1" s="76">
      <c r="A14" s="152" t="n"/>
      <c r="B14" s="144" t="inlineStr">
        <is>
          <t>HGC-Lib-26097292</t>
        </is>
      </c>
      <c r="C14" s="144" t="n">
        <v>23.31</v>
      </c>
      <c r="D14" s="145" t="n">
        <v>8</v>
      </c>
      <c r="E14" s="146">
        <f>ROUND(D14/SUM(D12:D84)*IF(C14="",50,50.0),3)</f>
        <v/>
      </c>
      <c r="F14" s="146">
        <f>ROUND(E14/C14*G85,3)</f>
        <v/>
      </c>
      <c r="G14" s="144" t="inlineStr">
        <is>
          <t>宏基因组</t>
        </is>
      </c>
      <c r="H14" s="144" t="inlineStr">
        <is>
          <t>广州奥智生物科技有限公司</t>
        </is>
      </c>
      <c r="I14" s="146" t="n"/>
      <c r="J14" s="144" t="n"/>
      <c r="K14" s="144" t="inlineStr">
        <is>
          <t>0727-1-2-宏_B11</t>
        </is>
      </c>
      <c r="L14" s="147" t="n"/>
      <c r="M14" s="147" t="n"/>
      <c r="N14" s="147" t="n">
        <v>23.31</v>
      </c>
      <c r="O14" s="147" t="inlineStr">
        <is>
          <t>Illumina Truseq文库</t>
        </is>
      </c>
      <c r="P14" s="147" t="inlineStr">
        <is>
          <t>未磷酸化</t>
        </is>
      </c>
      <c r="Q14" s="147" t="inlineStr">
        <is>
          <t>未环化</t>
        </is>
      </c>
      <c r="R14" s="147" t="inlineStr">
        <is>
          <t>A</t>
        </is>
      </c>
      <c r="S14" s="147" t="n"/>
    </row>
    <row r="15" ht="30" customHeight="1" s="76">
      <c r="A15" s="152" t="n"/>
      <c r="B15" s="144" t="inlineStr">
        <is>
          <t>HGC-Lib-26097293</t>
        </is>
      </c>
      <c r="C15" s="144" t="n">
        <v>56.7</v>
      </c>
      <c r="D15" s="145" t="n">
        <v>8</v>
      </c>
      <c r="E15" s="146">
        <f>ROUND(D15/SUM(D12:D84)*IF(C15="",50,50.0),3)</f>
        <v/>
      </c>
      <c r="F15" s="146">
        <f>ROUND(E15/C15*G85,3)</f>
        <v/>
      </c>
      <c r="G15" s="144" t="inlineStr">
        <is>
          <t>宏基因组</t>
        </is>
      </c>
      <c r="H15" s="144" t="inlineStr">
        <is>
          <t>广州奥智生物科技有限公司</t>
        </is>
      </c>
      <c r="I15" s="146" t="n"/>
      <c r="J15" s="144" t="n"/>
      <c r="K15" s="144" t="inlineStr">
        <is>
          <t>0727-1-2-宏_B12</t>
        </is>
      </c>
      <c r="L15" s="147" t="n"/>
      <c r="M15" s="147" t="n"/>
      <c r="N15" s="147" t="n">
        <v>56.7</v>
      </c>
      <c r="O15" s="147" t="inlineStr">
        <is>
          <t>Illumina Truseq文库</t>
        </is>
      </c>
      <c r="P15" s="147" t="inlineStr">
        <is>
          <t>未磷酸化</t>
        </is>
      </c>
      <c r="Q15" s="147" t="inlineStr">
        <is>
          <t>未环化</t>
        </is>
      </c>
      <c r="R15" s="147" t="inlineStr">
        <is>
          <t>A</t>
        </is>
      </c>
      <c r="S15" s="147" t="n"/>
    </row>
    <row r="16" ht="30" customHeight="1" s="76">
      <c r="A16" s="152" t="n"/>
      <c r="B16" s="144" t="inlineStr">
        <is>
          <t>HGC-Lib-26097294</t>
        </is>
      </c>
      <c r="C16" s="144" t="n">
        <v>30.84</v>
      </c>
      <c r="D16" s="145" t="n">
        <v>8</v>
      </c>
      <c r="E16" s="146">
        <f>ROUND(D16/SUM(D12:D84)*IF(C16="",50,50.0),3)</f>
        <v/>
      </c>
      <c r="F16" s="146">
        <f>ROUND(E16/C16*G85,3)</f>
        <v/>
      </c>
      <c r="G16" s="144" t="inlineStr">
        <is>
          <t>宏基因组</t>
        </is>
      </c>
      <c r="H16" s="144" t="inlineStr">
        <is>
          <t>广州奥智生物科技有限公司</t>
        </is>
      </c>
      <c r="I16" s="146" t="n"/>
      <c r="J16" s="144" t="n"/>
      <c r="K16" s="144" t="inlineStr">
        <is>
          <t>0727-1-2-宏_C1</t>
        </is>
      </c>
      <c r="L16" s="147" t="n"/>
      <c r="M16" s="147" t="n"/>
      <c r="N16" s="147" t="n">
        <v>30.84</v>
      </c>
      <c r="O16" s="147" t="inlineStr">
        <is>
          <t>Illumina Truseq文库</t>
        </is>
      </c>
      <c r="P16" s="147" t="inlineStr">
        <is>
          <t>未磷酸化</t>
        </is>
      </c>
      <c r="Q16" s="147" t="inlineStr">
        <is>
          <t>未环化</t>
        </is>
      </c>
      <c r="R16" s="147" t="inlineStr">
        <is>
          <t>A</t>
        </is>
      </c>
      <c r="S16" s="147" t="n"/>
    </row>
    <row r="17" ht="30" customHeight="1" s="76">
      <c r="A17" s="152" t="n"/>
      <c r="B17" s="144" t="inlineStr">
        <is>
          <t>HGC-Lib-26097295</t>
        </is>
      </c>
      <c r="C17" s="144" t="n">
        <v>51.85</v>
      </c>
      <c r="D17" s="145" t="n">
        <v>8</v>
      </c>
      <c r="E17" s="146">
        <f>ROUND(D17/SUM(D12:D84)*IF(C17="",50,50.0),3)</f>
        <v/>
      </c>
      <c r="F17" s="146">
        <f>ROUND(E17/C17*G85,3)</f>
        <v/>
      </c>
      <c r="G17" s="144" t="inlineStr">
        <is>
          <t>宏基因组</t>
        </is>
      </c>
      <c r="H17" s="144" t="inlineStr">
        <is>
          <t>广州奥智生物科技有限公司</t>
        </is>
      </c>
      <c r="I17" s="146" t="n"/>
      <c r="J17" s="144" t="n"/>
      <c r="K17" s="144" t="inlineStr">
        <is>
          <t>0727-1-2-宏_C2</t>
        </is>
      </c>
      <c r="L17" s="147" t="n"/>
      <c r="M17" s="147" t="n"/>
      <c r="N17" s="147" t="n">
        <v>51.85</v>
      </c>
      <c r="O17" s="147" t="inlineStr">
        <is>
          <t>Illumina Truseq文库</t>
        </is>
      </c>
      <c r="P17" s="147" t="inlineStr">
        <is>
          <t>未磷酸化</t>
        </is>
      </c>
      <c r="Q17" s="147" t="inlineStr">
        <is>
          <t>未环化</t>
        </is>
      </c>
      <c r="R17" s="147" t="inlineStr">
        <is>
          <t>A</t>
        </is>
      </c>
      <c r="S17" s="147" t="n"/>
    </row>
    <row r="18" ht="30" customHeight="1" s="76">
      <c r="A18" s="152" t="n"/>
      <c r="B18" s="144" t="inlineStr">
        <is>
          <t>HGC-Lib-26097296</t>
        </is>
      </c>
      <c r="C18" s="144" t="n">
        <v>33.48</v>
      </c>
      <c r="D18" s="145" t="n">
        <v>8</v>
      </c>
      <c r="E18" s="146">
        <f>ROUND(D18/SUM(D12:D84)*IF(C18="",50,50.0),3)</f>
        <v/>
      </c>
      <c r="F18" s="146">
        <f>ROUND(E18/C18*G85,3)</f>
        <v/>
      </c>
      <c r="G18" s="144" t="inlineStr">
        <is>
          <t>宏基因组</t>
        </is>
      </c>
      <c r="H18" s="144" t="inlineStr">
        <is>
          <t>广州奥智生物科技有限公司</t>
        </is>
      </c>
      <c r="I18" s="146" t="n"/>
      <c r="J18" s="144" t="n"/>
      <c r="K18" s="144" t="inlineStr">
        <is>
          <t>0727-1-2-宏_C3</t>
        </is>
      </c>
      <c r="L18" s="147" t="n"/>
      <c r="M18" s="147" t="n"/>
      <c r="N18" s="147" t="n">
        <v>33.48</v>
      </c>
      <c r="O18" s="147" t="inlineStr">
        <is>
          <t>Illumina Truseq文库</t>
        </is>
      </c>
      <c r="P18" s="147" t="inlineStr">
        <is>
          <t>未磷酸化</t>
        </is>
      </c>
      <c r="Q18" s="147" t="inlineStr">
        <is>
          <t>未环化</t>
        </is>
      </c>
      <c r="R18" s="147" t="inlineStr">
        <is>
          <t>A</t>
        </is>
      </c>
      <c r="S18" s="147" t="n"/>
    </row>
    <row r="19" ht="30" customHeight="1" s="76">
      <c r="A19" s="152" t="n"/>
      <c r="B19" s="144" t="inlineStr">
        <is>
          <t>HGC-Lib-26097297</t>
        </is>
      </c>
      <c r="C19" s="144" t="n">
        <v>18.32</v>
      </c>
      <c r="D19" s="145" t="n">
        <v>8</v>
      </c>
      <c r="E19" s="146">
        <f>ROUND(D19/SUM(D12:D84)*IF(C19="",50,50.0),3)</f>
        <v/>
      </c>
      <c r="F19" s="146">
        <f>ROUND(E19/C19*G85,3)</f>
        <v/>
      </c>
      <c r="G19" s="144" t="inlineStr">
        <is>
          <t>宏基因组</t>
        </is>
      </c>
      <c r="H19" s="144" t="inlineStr">
        <is>
          <t>广州奥智生物科技有限公司</t>
        </is>
      </c>
      <c r="I19" s="146" t="n"/>
      <c r="J19" s="144" t="n"/>
      <c r="K19" s="144" t="inlineStr">
        <is>
          <t>0727-1-2-宏_C4</t>
        </is>
      </c>
      <c r="L19" s="147" t="n"/>
      <c r="M19" s="147" t="n"/>
      <c r="N19" s="147" t="n">
        <v>18.32</v>
      </c>
      <c r="O19" s="147" t="inlineStr">
        <is>
          <t>Illumina Truseq文库</t>
        </is>
      </c>
      <c r="P19" s="147" t="inlineStr">
        <is>
          <t>未磷酸化</t>
        </is>
      </c>
      <c r="Q19" s="147" t="inlineStr">
        <is>
          <t>未环化</t>
        </is>
      </c>
      <c r="R19" s="147" t="inlineStr">
        <is>
          <t>A</t>
        </is>
      </c>
      <c r="S19" s="147" t="n"/>
    </row>
    <row r="20" ht="30" customHeight="1" s="76">
      <c r="A20" s="152" t="n"/>
      <c r="B20" s="144" t="inlineStr">
        <is>
          <t>HGC-Lib-26097298</t>
        </is>
      </c>
      <c r="C20" s="144" t="n">
        <v>27.75</v>
      </c>
      <c r="D20" s="145" t="n">
        <v>8</v>
      </c>
      <c r="E20" s="146">
        <f>ROUND(D20/SUM(D12:D84)*IF(C20="",50,50.0),3)</f>
        <v/>
      </c>
      <c r="F20" s="146">
        <f>ROUND(E20/C20*G85,3)</f>
        <v/>
      </c>
      <c r="G20" s="144" t="inlineStr">
        <is>
          <t>宏基因组</t>
        </is>
      </c>
      <c r="H20" s="144" t="inlineStr">
        <is>
          <t>广州奥智生物科技有限公司</t>
        </is>
      </c>
      <c r="I20" s="146" t="n"/>
      <c r="J20" s="144" t="n"/>
      <c r="K20" s="144" t="inlineStr">
        <is>
          <t>0727-1-2-宏_C5</t>
        </is>
      </c>
      <c r="L20" s="147" t="n"/>
      <c r="M20" s="147" t="n"/>
      <c r="N20" s="147" t="n">
        <v>27.75</v>
      </c>
      <c r="O20" s="147" t="inlineStr">
        <is>
          <t>Illumina Truseq文库</t>
        </is>
      </c>
      <c r="P20" s="147" t="inlineStr">
        <is>
          <t>未磷酸化</t>
        </is>
      </c>
      <c r="Q20" s="147" t="inlineStr">
        <is>
          <t>未环化</t>
        </is>
      </c>
      <c r="R20" s="147" t="inlineStr">
        <is>
          <t>A</t>
        </is>
      </c>
      <c r="S20" s="147" t="n"/>
    </row>
    <row r="21" ht="30" customHeight="1" s="76">
      <c r="A21" s="152" t="n"/>
      <c r="B21" s="144" t="inlineStr">
        <is>
          <t>HGC-Lib-26097299</t>
        </is>
      </c>
      <c r="C21" s="144" t="n">
        <v>51.01</v>
      </c>
      <c r="D21" s="145" t="n">
        <v>8</v>
      </c>
      <c r="E21" s="146">
        <f>ROUND(D21/SUM(D12:D84)*IF(C21="",50,50.0),3)</f>
        <v/>
      </c>
      <c r="F21" s="146">
        <f>ROUND(E21/C21*G85,3)</f>
        <v/>
      </c>
      <c r="G21" s="144" t="inlineStr">
        <is>
          <t>宏基因组</t>
        </is>
      </c>
      <c r="H21" s="144" t="inlineStr">
        <is>
          <t>广州奥智生物科技有限公司</t>
        </is>
      </c>
      <c r="I21" s="146" t="n"/>
      <c r="J21" s="144" t="n"/>
      <c r="K21" s="144" t="inlineStr">
        <is>
          <t>0727-1-2-宏_C6</t>
        </is>
      </c>
      <c r="L21" s="147" t="n"/>
      <c r="M21" s="147" t="n"/>
      <c r="N21" s="147" t="n">
        <v>51.01</v>
      </c>
      <c r="O21" s="147" t="inlineStr">
        <is>
          <t>Illumina Truseq文库</t>
        </is>
      </c>
      <c r="P21" s="147" t="inlineStr">
        <is>
          <t>未磷酸化</t>
        </is>
      </c>
      <c r="Q21" s="147" t="inlineStr">
        <is>
          <t>未环化</t>
        </is>
      </c>
      <c r="R21" s="147" t="inlineStr">
        <is>
          <t>A</t>
        </is>
      </c>
      <c r="S21" s="147" t="n"/>
    </row>
    <row r="22" ht="30" customHeight="1" s="76">
      <c r="A22" s="152" t="n"/>
      <c r="B22" s="144" t="inlineStr">
        <is>
          <t>HGC-Lib-26097300</t>
        </is>
      </c>
      <c r="C22" s="144" t="n">
        <v>40.38</v>
      </c>
      <c r="D22" s="145" t="n">
        <v>8</v>
      </c>
      <c r="E22" s="146">
        <f>ROUND(D22/SUM(D12:D84)*IF(C22="",50,50.0),3)</f>
        <v/>
      </c>
      <c r="F22" s="146">
        <f>ROUND(E22/C22*G85,3)</f>
        <v/>
      </c>
      <c r="G22" s="144" t="inlineStr">
        <is>
          <t>宏基因组</t>
        </is>
      </c>
      <c r="H22" s="144" t="inlineStr">
        <is>
          <t>广州奥智生物科技有限公司</t>
        </is>
      </c>
      <c r="I22" s="146" t="n"/>
      <c r="J22" s="144" t="n"/>
      <c r="K22" s="144" t="inlineStr">
        <is>
          <t>0727-1-2-宏_C7</t>
        </is>
      </c>
      <c r="L22" s="147" t="n"/>
      <c r="M22" s="147" t="n"/>
      <c r="N22" s="147" t="n">
        <v>40.38</v>
      </c>
      <c r="O22" s="147" t="inlineStr">
        <is>
          <t>Illumina Truseq文库</t>
        </is>
      </c>
      <c r="P22" s="147" t="inlineStr">
        <is>
          <t>未磷酸化</t>
        </is>
      </c>
      <c r="Q22" s="147" t="inlineStr">
        <is>
          <t>未环化</t>
        </is>
      </c>
      <c r="R22" s="147" t="inlineStr">
        <is>
          <t>A</t>
        </is>
      </c>
      <c r="S22" s="147" t="n"/>
    </row>
    <row r="23" ht="30" customHeight="1" s="76">
      <c r="A23" s="152" t="n"/>
      <c r="B23" s="144" t="inlineStr">
        <is>
          <t>HGC-Lib-26097301</t>
        </is>
      </c>
      <c r="C23" s="144" t="n">
        <v>49.34</v>
      </c>
      <c r="D23" s="145" t="n">
        <v>8</v>
      </c>
      <c r="E23" s="146">
        <f>ROUND(D23/SUM(D12:D84)*IF(C23="",50,50.0),3)</f>
        <v/>
      </c>
      <c r="F23" s="146">
        <f>ROUND(E23/C23*G85,3)</f>
        <v/>
      </c>
      <c r="G23" s="144" t="inlineStr">
        <is>
          <t>宏基因组</t>
        </is>
      </c>
      <c r="H23" s="144" t="inlineStr">
        <is>
          <t>广州奥智生物科技有限公司</t>
        </is>
      </c>
      <c r="I23" s="146" t="n"/>
      <c r="J23" s="144" t="n"/>
      <c r="K23" s="144" t="inlineStr">
        <is>
          <t>0727-1-2-宏_C8</t>
        </is>
      </c>
      <c r="L23" s="147" t="n"/>
      <c r="M23" s="147" t="n"/>
      <c r="N23" s="147" t="n">
        <v>49.34</v>
      </c>
      <c r="O23" s="147" t="inlineStr">
        <is>
          <t>Illumina Truseq文库</t>
        </is>
      </c>
      <c r="P23" s="147" t="inlineStr">
        <is>
          <t>未磷酸化</t>
        </is>
      </c>
      <c r="Q23" s="147" t="inlineStr">
        <is>
          <t>未环化</t>
        </is>
      </c>
      <c r="R23" s="147" t="inlineStr">
        <is>
          <t>A</t>
        </is>
      </c>
      <c r="S23" s="147" t="n"/>
    </row>
    <row r="24" ht="30" customHeight="1" s="76">
      <c r="A24" s="152" t="n"/>
      <c r="B24" s="144" t="inlineStr">
        <is>
          <t>HGC-Lib-26097302</t>
        </is>
      </c>
      <c r="C24" s="144" t="n">
        <v>39.39</v>
      </c>
      <c r="D24" s="145" t="n">
        <v>8</v>
      </c>
      <c r="E24" s="146">
        <f>ROUND(D24/SUM(D12:D84)*IF(C24="",50,50.0),3)</f>
        <v/>
      </c>
      <c r="F24" s="146">
        <f>ROUND(E24/C24*G85,3)</f>
        <v/>
      </c>
      <c r="G24" s="144" t="inlineStr">
        <is>
          <t>宏基因组</t>
        </is>
      </c>
      <c r="H24" s="144" t="inlineStr">
        <is>
          <t>广州奥智生物科技有限公司</t>
        </is>
      </c>
      <c r="I24" s="146" t="n"/>
      <c r="J24" s="144" t="n"/>
      <c r="K24" s="144" t="inlineStr">
        <is>
          <t>0727-1-2-宏_C9</t>
        </is>
      </c>
      <c r="L24" s="147" t="n"/>
      <c r="M24" s="147" t="n"/>
      <c r="N24" s="147" t="n">
        <v>39.39</v>
      </c>
      <c r="O24" s="147" t="inlineStr">
        <is>
          <t>Illumina Truseq文库</t>
        </is>
      </c>
      <c r="P24" s="147" t="inlineStr">
        <is>
          <t>未磷酸化</t>
        </is>
      </c>
      <c r="Q24" s="147" t="inlineStr">
        <is>
          <t>未环化</t>
        </is>
      </c>
      <c r="R24" s="147" t="inlineStr">
        <is>
          <t>A</t>
        </is>
      </c>
      <c r="S24" s="147" t="n"/>
    </row>
    <row r="25" ht="30" customHeight="1" s="76">
      <c r="A25" s="152" t="n"/>
      <c r="B25" s="144" t="inlineStr">
        <is>
          <t>HGC-Lib-26097303</t>
        </is>
      </c>
      <c r="C25" s="144" t="n">
        <v>49.35</v>
      </c>
      <c r="D25" s="145" t="n">
        <v>8</v>
      </c>
      <c r="E25" s="146">
        <f>ROUND(D25/SUM(D12:D84)*IF(C25="",50,50.0),3)</f>
        <v/>
      </c>
      <c r="F25" s="146">
        <f>ROUND(E25/C25*G85,3)</f>
        <v/>
      </c>
      <c r="G25" s="144" t="inlineStr">
        <is>
          <t>宏基因组</t>
        </is>
      </c>
      <c r="H25" s="144" t="inlineStr">
        <is>
          <t>广州奥智生物科技有限公司</t>
        </is>
      </c>
      <c r="I25" s="146" t="n"/>
      <c r="J25" s="144" t="n"/>
      <c r="K25" s="144" t="inlineStr">
        <is>
          <t>0727-1-2-宏_C10</t>
        </is>
      </c>
      <c r="L25" s="147" t="n"/>
      <c r="M25" s="147" t="n"/>
      <c r="N25" s="147" t="n">
        <v>49.35</v>
      </c>
      <c r="O25" s="147" t="inlineStr">
        <is>
          <t>Illumina Truseq文库</t>
        </is>
      </c>
      <c r="P25" s="147" t="inlineStr">
        <is>
          <t>未磷酸化</t>
        </is>
      </c>
      <c r="Q25" s="147" t="inlineStr">
        <is>
          <t>未环化</t>
        </is>
      </c>
      <c r="R25" s="147" t="inlineStr">
        <is>
          <t>A</t>
        </is>
      </c>
      <c r="S25" s="147" t="n"/>
    </row>
    <row r="26" ht="30" customHeight="1" s="76">
      <c r="A26" s="152" t="n"/>
      <c r="B26" s="144" t="inlineStr">
        <is>
          <t>HGC-Lib-26097304</t>
        </is>
      </c>
      <c r="C26" s="144" t="n">
        <v>35.74</v>
      </c>
      <c r="D26" s="145" t="n">
        <v>8</v>
      </c>
      <c r="E26" s="146">
        <f>ROUND(D26/SUM(D12:D84)*IF(C26="",50,50.0),3)</f>
        <v/>
      </c>
      <c r="F26" s="146">
        <f>ROUND(E26/C26*G85,3)</f>
        <v/>
      </c>
      <c r="G26" s="144" t="inlineStr">
        <is>
          <t>宏基因组</t>
        </is>
      </c>
      <c r="H26" s="144" t="inlineStr">
        <is>
          <t>广州奥智生物科技有限公司</t>
        </is>
      </c>
      <c r="I26" s="146" t="n"/>
      <c r="J26" s="144" t="n"/>
      <c r="K26" s="144" t="inlineStr">
        <is>
          <t>0727-1-2-宏_C11</t>
        </is>
      </c>
      <c r="L26" s="147" t="n"/>
      <c r="M26" s="147" t="n"/>
      <c r="N26" s="147" t="n">
        <v>35.74</v>
      </c>
      <c r="O26" s="147" t="inlineStr">
        <is>
          <t>Illumina Truseq文库</t>
        </is>
      </c>
      <c r="P26" s="147" t="inlineStr">
        <is>
          <t>未磷酸化</t>
        </is>
      </c>
      <c r="Q26" s="147" t="inlineStr">
        <is>
          <t>未环化</t>
        </is>
      </c>
      <c r="R26" s="147" t="inlineStr">
        <is>
          <t>A</t>
        </is>
      </c>
      <c r="S26" s="147" t="n"/>
    </row>
    <row r="27" ht="30" customHeight="1" s="76">
      <c r="A27" s="152" t="n"/>
      <c r="B27" s="144" t="inlineStr">
        <is>
          <t>HGC-Lib-26097305</t>
        </is>
      </c>
      <c r="C27" s="144" t="n">
        <v>73.98999999999999</v>
      </c>
      <c r="D27" s="145" t="n">
        <v>8</v>
      </c>
      <c r="E27" s="146">
        <f>ROUND(D27/SUM(D12:D84)*IF(C27="",50,50.0),3)</f>
        <v/>
      </c>
      <c r="F27" s="146">
        <f>ROUND(E27/C27*G85,3)</f>
        <v/>
      </c>
      <c r="G27" s="144" t="inlineStr">
        <is>
          <t>宏基因组</t>
        </is>
      </c>
      <c r="H27" s="144" t="inlineStr">
        <is>
          <t>广州奥智生物科技有限公司</t>
        </is>
      </c>
      <c r="I27" s="146" t="n"/>
      <c r="J27" s="144" t="n"/>
      <c r="K27" s="144" t="inlineStr">
        <is>
          <t>0727-1-2-宏_C12</t>
        </is>
      </c>
      <c r="L27" s="147" t="n"/>
      <c r="M27" s="147" t="n"/>
      <c r="N27" s="147" t="n">
        <v>73.98999999999999</v>
      </c>
      <c r="O27" s="147" t="inlineStr">
        <is>
          <t>Illumina Truseq文库</t>
        </is>
      </c>
      <c r="P27" s="147" t="inlineStr">
        <is>
          <t>未磷酸化</t>
        </is>
      </c>
      <c r="Q27" s="147" t="inlineStr">
        <is>
          <t>未环化</t>
        </is>
      </c>
      <c r="R27" s="147" t="inlineStr">
        <is>
          <t>A</t>
        </is>
      </c>
      <c r="S27" s="147" t="n"/>
    </row>
    <row r="28" ht="30" customHeight="1" s="76">
      <c r="A28" s="152" t="n"/>
      <c r="B28" s="144" t="inlineStr">
        <is>
          <t>HGC-Lib-26097306</t>
        </is>
      </c>
      <c r="C28" s="144" t="n">
        <v>35.38</v>
      </c>
      <c r="D28" s="145" t="n">
        <v>8</v>
      </c>
      <c r="E28" s="146">
        <f>ROUND(D28/SUM(D12:D84)*IF(C28="",50,50.0),3)</f>
        <v/>
      </c>
      <c r="F28" s="146">
        <f>ROUND(E28/C28*G85,3)</f>
        <v/>
      </c>
      <c r="G28" s="144" t="inlineStr">
        <is>
          <t>宏基因组</t>
        </is>
      </c>
      <c r="H28" s="144" t="inlineStr">
        <is>
          <t>广州奥智生物科技有限公司</t>
        </is>
      </c>
      <c r="I28" s="146" t="n"/>
      <c r="J28" s="144" t="n"/>
      <c r="K28" s="144" t="inlineStr">
        <is>
          <t>0727-1-2-宏_D1</t>
        </is>
      </c>
      <c r="L28" s="147" t="n"/>
      <c r="M28" s="147" t="n"/>
      <c r="N28" s="147" t="n">
        <v>35.38</v>
      </c>
      <c r="O28" s="147" t="inlineStr">
        <is>
          <t>Illumina Truseq文库</t>
        </is>
      </c>
      <c r="P28" s="147" t="inlineStr">
        <is>
          <t>未磷酸化</t>
        </is>
      </c>
      <c r="Q28" s="147" t="inlineStr">
        <is>
          <t>未环化</t>
        </is>
      </c>
      <c r="R28" s="147" t="inlineStr">
        <is>
          <t>A</t>
        </is>
      </c>
      <c r="S28" s="147" t="n"/>
    </row>
    <row r="29" ht="30" customHeight="1" s="76">
      <c r="A29" s="152" t="n"/>
      <c r="B29" s="144" t="inlineStr">
        <is>
          <t>HGC-Lib-26097307</t>
        </is>
      </c>
      <c r="C29" s="144" t="n">
        <v>41.64</v>
      </c>
      <c r="D29" s="145" t="n">
        <v>8</v>
      </c>
      <c r="E29" s="146">
        <f>ROUND(D29/SUM(D12:D84)*IF(C29="",50,50.0),3)</f>
        <v/>
      </c>
      <c r="F29" s="146">
        <f>ROUND(E29/C29*G85,3)</f>
        <v/>
      </c>
      <c r="G29" s="144" t="inlineStr">
        <is>
          <t>宏基因组</t>
        </is>
      </c>
      <c r="H29" s="144" t="inlineStr">
        <is>
          <t>广州奥智生物科技有限公司</t>
        </is>
      </c>
      <c r="I29" s="146" t="n"/>
      <c r="J29" s="144" t="n"/>
      <c r="K29" s="144" t="inlineStr">
        <is>
          <t>0727-1-2-宏_D2</t>
        </is>
      </c>
      <c r="L29" s="147" t="n"/>
      <c r="M29" s="147" t="n"/>
      <c r="N29" s="147" t="n">
        <v>41.64</v>
      </c>
      <c r="O29" s="147" t="inlineStr">
        <is>
          <t>Illumina Truseq文库</t>
        </is>
      </c>
      <c r="P29" s="147" t="inlineStr">
        <is>
          <t>未磷酸化</t>
        </is>
      </c>
      <c r="Q29" s="147" t="inlineStr">
        <is>
          <t>未环化</t>
        </is>
      </c>
      <c r="R29" s="147" t="inlineStr">
        <is>
          <t>A</t>
        </is>
      </c>
      <c r="S29" s="147" t="n"/>
    </row>
    <row r="30" ht="30" customHeight="1" s="76">
      <c r="A30" s="152" t="n"/>
      <c r="B30" s="144" t="inlineStr">
        <is>
          <t>HGC-Lib-26097308</t>
        </is>
      </c>
      <c r="C30" s="144" t="n">
        <v>32.9</v>
      </c>
      <c r="D30" s="145" t="n">
        <v>8</v>
      </c>
      <c r="E30" s="146">
        <f>ROUND(D30/SUM(D12:D84)*IF(C30="",50,50.0),3)</f>
        <v/>
      </c>
      <c r="F30" s="146">
        <f>ROUND(E30/C30*G85,3)</f>
        <v/>
      </c>
      <c r="G30" s="144" t="inlineStr">
        <is>
          <t>宏基因组</t>
        </is>
      </c>
      <c r="H30" s="144" t="inlineStr">
        <is>
          <t>广州奥智生物科技有限公司</t>
        </is>
      </c>
      <c r="I30" s="146" t="n"/>
      <c r="J30" s="144" t="n"/>
      <c r="K30" s="144" t="inlineStr">
        <is>
          <t>0727-1-2-宏_D3</t>
        </is>
      </c>
      <c r="L30" s="147" t="n"/>
      <c r="M30" s="147" t="n"/>
      <c r="N30" s="147" t="n">
        <v>32.9</v>
      </c>
      <c r="O30" s="147" t="inlineStr">
        <is>
          <t>Illumina Truseq文库</t>
        </is>
      </c>
      <c r="P30" s="147" t="inlineStr">
        <is>
          <t>未磷酸化</t>
        </is>
      </c>
      <c r="Q30" s="147" t="inlineStr">
        <is>
          <t>未环化</t>
        </is>
      </c>
      <c r="R30" s="147" t="inlineStr">
        <is>
          <t>A</t>
        </is>
      </c>
      <c r="S30" s="147" t="n"/>
    </row>
    <row r="31" ht="30" customHeight="1" s="76">
      <c r="A31" s="152" t="n"/>
      <c r="B31" s="144" t="inlineStr">
        <is>
          <t>HGC-Lib-26097309</t>
        </is>
      </c>
      <c r="C31" s="144" t="n">
        <v>41.04</v>
      </c>
      <c r="D31" s="145" t="n">
        <v>8</v>
      </c>
      <c r="E31" s="146">
        <f>ROUND(D31/SUM(D12:D84)*IF(C31="",50,50.0),3)</f>
        <v/>
      </c>
      <c r="F31" s="146">
        <f>ROUND(E31/C31*G85,3)</f>
        <v/>
      </c>
      <c r="G31" s="144" t="inlineStr">
        <is>
          <t>宏基因组</t>
        </is>
      </c>
      <c r="H31" s="144" t="inlineStr">
        <is>
          <t>广州奥智生物科技有限公司</t>
        </is>
      </c>
      <c r="I31" s="146" t="n"/>
      <c r="J31" s="144" t="n"/>
      <c r="K31" s="144" t="inlineStr">
        <is>
          <t>0727-1-2-宏_D4</t>
        </is>
      </c>
      <c r="L31" s="147" t="n"/>
      <c r="M31" s="147" t="n"/>
      <c r="N31" s="147" t="n">
        <v>41.04</v>
      </c>
      <c r="O31" s="147" t="inlineStr">
        <is>
          <t>Illumina Truseq文库</t>
        </is>
      </c>
      <c r="P31" s="147" t="inlineStr">
        <is>
          <t>未磷酸化</t>
        </is>
      </c>
      <c r="Q31" s="147" t="inlineStr">
        <is>
          <t>未环化</t>
        </is>
      </c>
      <c r="R31" s="147" t="inlineStr">
        <is>
          <t>A</t>
        </is>
      </c>
      <c r="S31" s="147" t="n"/>
    </row>
    <row r="32" ht="30" customHeight="1" s="76">
      <c r="A32" s="152" t="n"/>
      <c r="B32" s="144" t="inlineStr">
        <is>
          <t>HGC-Lib-26097310</t>
        </is>
      </c>
      <c r="C32" s="144" t="n">
        <v>37.1</v>
      </c>
      <c r="D32" s="145" t="n">
        <v>8</v>
      </c>
      <c r="E32" s="146">
        <f>ROUND(D32/SUM(D12:D84)*IF(C32="",50,50.0),3)</f>
        <v/>
      </c>
      <c r="F32" s="146">
        <f>ROUND(E32/C32*G85,3)</f>
        <v/>
      </c>
      <c r="G32" s="144" t="inlineStr">
        <is>
          <t>宏基因组</t>
        </is>
      </c>
      <c r="H32" s="144" t="inlineStr">
        <is>
          <t>广州奥智生物科技有限公司</t>
        </is>
      </c>
      <c r="I32" s="146" t="n"/>
      <c r="J32" s="144" t="n"/>
      <c r="K32" s="144" t="inlineStr">
        <is>
          <t>0727-1-2-宏_D5</t>
        </is>
      </c>
      <c r="L32" s="147" t="n"/>
      <c r="M32" s="147" t="n"/>
      <c r="N32" s="147" t="n">
        <v>37.1</v>
      </c>
      <c r="O32" s="147" t="inlineStr">
        <is>
          <t>Illumina Truseq文库</t>
        </is>
      </c>
      <c r="P32" s="147" t="inlineStr">
        <is>
          <t>未磷酸化</t>
        </is>
      </c>
      <c r="Q32" s="147" t="inlineStr">
        <is>
          <t>未环化</t>
        </is>
      </c>
      <c r="R32" s="147" t="inlineStr">
        <is>
          <t>A</t>
        </is>
      </c>
      <c r="S32" s="147" t="n"/>
    </row>
    <row r="33" ht="30" customHeight="1" s="76">
      <c r="A33" s="152" t="n"/>
      <c r="B33" s="144" t="inlineStr">
        <is>
          <t>HGC-Lib-26097311</t>
        </is>
      </c>
      <c r="C33" s="144" t="n">
        <v>49.04</v>
      </c>
      <c r="D33" s="145" t="n">
        <v>8</v>
      </c>
      <c r="E33" s="146">
        <f>ROUND(D33/SUM(D12:D84)*IF(C33="",50,50.0),3)</f>
        <v/>
      </c>
      <c r="F33" s="146">
        <f>ROUND(E33/C33*G85,3)</f>
        <v/>
      </c>
      <c r="G33" s="144" t="inlineStr">
        <is>
          <t>宏基因组</t>
        </is>
      </c>
      <c r="H33" s="144" t="inlineStr">
        <is>
          <t>广州奥智生物科技有限公司</t>
        </is>
      </c>
      <c r="I33" s="146" t="n"/>
      <c r="J33" s="144" t="n"/>
      <c r="K33" s="144" t="inlineStr">
        <is>
          <t>0727-1-2-宏_D6</t>
        </is>
      </c>
      <c r="L33" s="147" t="n"/>
      <c r="M33" s="147" t="n"/>
      <c r="N33" s="147" t="n">
        <v>49.04</v>
      </c>
      <c r="O33" s="147" t="inlineStr">
        <is>
          <t>Illumina Truseq文库</t>
        </is>
      </c>
      <c r="P33" s="147" t="inlineStr">
        <is>
          <t>未磷酸化</t>
        </is>
      </c>
      <c r="Q33" s="147" t="inlineStr">
        <is>
          <t>未环化</t>
        </is>
      </c>
      <c r="R33" s="147" t="inlineStr">
        <is>
          <t>A</t>
        </is>
      </c>
      <c r="S33" s="147" t="n"/>
    </row>
    <row r="34" ht="30" customHeight="1" s="76">
      <c r="A34" s="152" t="n"/>
      <c r="B34" s="144" t="inlineStr">
        <is>
          <t>HGC-Lib-26097312</t>
        </is>
      </c>
      <c r="C34" s="144" t="n">
        <v>44.39</v>
      </c>
      <c r="D34" s="145" t="n">
        <v>8</v>
      </c>
      <c r="E34" s="146">
        <f>ROUND(D34/SUM(D12:D84)*IF(C34="",50,50.0),3)</f>
        <v/>
      </c>
      <c r="F34" s="146">
        <f>ROUND(E34/C34*G85,3)</f>
        <v/>
      </c>
      <c r="G34" s="144" t="inlineStr">
        <is>
          <t>宏基因组</t>
        </is>
      </c>
      <c r="H34" s="144" t="inlineStr">
        <is>
          <t>广州奥智生物科技有限公司</t>
        </is>
      </c>
      <c r="I34" s="146" t="n"/>
      <c r="J34" s="144" t="n"/>
      <c r="K34" s="144" t="inlineStr">
        <is>
          <t>0727-1-2-宏_D7</t>
        </is>
      </c>
      <c r="L34" s="147" t="n"/>
      <c r="M34" s="147" t="n"/>
      <c r="N34" s="147" t="n">
        <v>44.39</v>
      </c>
      <c r="O34" s="147" t="inlineStr">
        <is>
          <t>Illumina Truseq文库</t>
        </is>
      </c>
      <c r="P34" s="147" t="inlineStr">
        <is>
          <t>未磷酸化</t>
        </is>
      </c>
      <c r="Q34" s="147" t="inlineStr">
        <is>
          <t>未环化</t>
        </is>
      </c>
      <c r="R34" s="147" t="inlineStr">
        <is>
          <t>A</t>
        </is>
      </c>
      <c r="S34" s="147" t="n"/>
    </row>
    <row r="35" ht="30" customHeight="1" s="76">
      <c r="A35" s="152" t="n"/>
      <c r="B35" s="144" t="inlineStr">
        <is>
          <t>HGC-Lib-26097313</t>
        </is>
      </c>
      <c r="C35" s="144" t="n">
        <v>23.48</v>
      </c>
      <c r="D35" s="145" t="n">
        <v>8</v>
      </c>
      <c r="E35" s="146">
        <f>ROUND(D35/SUM(D12:D84)*IF(C35="",50,50.0),3)</f>
        <v/>
      </c>
      <c r="F35" s="146">
        <f>ROUND(E35/C35*G85,3)</f>
        <v/>
      </c>
      <c r="G35" s="144" t="inlineStr">
        <is>
          <t>宏基因组</t>
        </is>
      </c>
      <c r="H35" s="144" t="inlineStr">
        <is>
          <t>广州奥智生物科技有限公司</t>
        </is>
      </c>
      <c r="I35" s="146" t="n"/>
      <c r="J35" s="144" t="n"/>
      <c r="K35" s="144" t="inlineStr">
        <is>
          <t>0727-1-2-宏_D8</t>
        </is>
      </c>
      <c r="L35" s="147" t="n"/>
      <c r="M35" s="147" t="n"/>
      <c r="N35" s="147" t="n">
        <v>23.48</v>
      </c>
      <c r="O35" s="147" t="inlineStr">
        <is>
          <t>Illumina Truseq文库</t>
        </is>
      </c>
      <c r="P35" s="147" t="inlineStr">
        <is>
          <t>未磷酸化</t>
        </is>
      </c>
      <c r="Q35" s="147" t="inlineStr">
        <is>
          <t>未环化</t>
        </is>
      </c>
      <c r="R35" s="147" t="inlineStr">
        <is>
          <t>A</t>
        </is>
      </c>
      <c r="S35" s="147" t="n"/>
    </row>
    <row r="36" ht="30" customHeight="1" s="76">
      <c r="A36" s="152" t="n"/>
      <c r="B36" s="144" t="inlineStr">
        <is>
          <t>HGC-Lib-26097314</t>
        </is>
      </c>
      <c r="C36" s="144" t="n">
        <v>30.97</v>
      </c>
      <c r="D36" s="145" t="n">
        <v>8</v>
      </c>
      <c r="E36" s="146">
        <f>ROUND(D36/SUM(D12:D84)*IF(C36="",50,50.0),3)</f>
        <v/>
      </c>
      <c r="F36" s="146">
        <f>ROUND(E36/C36*G85,3)</f>
        <v/>
      </c>
      <c r="G36" s="144" t="inlineStr">
        <is>
          <t>宏基因组</t>
        </is>
      </c>
      <c r="H36" s="144" t="inlineStr">
        <is>
          <t>广州奥智生物科技有限公司</t>
        </is>
      </c>
      <c r="I36" s="146" t="n"/>
      <c r="J36" s="144" t="n"/>
      <c r="K36" s="144" t="inlineStr">
        <is>
          <t>0727-1-2-宏_D9</t>
        </is>
      </c>
      <c r="L36" s="147" t="n"/>
      <c r="M36" s="147" t="n"/>
      <c r="N36" s="147" t="n">
        <v>30.97</v>
      </c>
      <c r="O36" s="147" t="inlineStr">
        <is>
          <t>Illumina Truseq文库</t>
        </is>
      </c>
      <c r="P36" s="147" t="inlineStr">
        <is>
          <t>未磷酸化</t>
        </is>
      </c>
      <c r="Q36" s="147" t="inlineStr">
        <is>
          <t>未环化</t>
        </is>
      </c>
      <c r="R36" s="147" t="inlineStr">
        <is>
          <t>A</t>
        </is>
      </c>
      <c r="S36" s="147" t="n"/>
    </row>
    <row r="37" ht="30" customHeight="1" s="76">
      <c r="A37" s="152" t="n"/>
      <c r="B37" s="144" t="inlineStr">
        <is>
          <t>HGC-Lib-26097315</t>
        </is>
      </c>
      <c r="C37" s="144" t="n">
        <v>45.81</v>
      </c>
      <c r="D37" s="145" t="n">
        <v>8</v>
      </c>
      <c r="E37" s="146">
        <f>ROUND(D37/SUM(D12:D84)*IF(C37="",50,50.0),3)</f>
        <v/>
      </c>
      <c r="F37" s="146">
        <f>ROUND(E37/C37*G85,3)</f>
        <v/>
      </c>
      <c r="G37" s="144" t="inlineStr">
        <is>
          <t>宏基因组</t>
        </is>
      </c>
      <c r="H37" s="144" t="inlineStr">
        <is>
          <t>广州奥智生物科技有限公司</t>
        </is>
      </c>
      <c r="I37" s="146" t="n"/>
      <c r="J37" s="144" t="n"/>
      <c r="K37" s="144" t="inlineStr">
        <is>
          <t>0727-1-2-宏_D10</t>
        </is>
      </c>
      <c r="L37" s="147" t="n"/>
      <c r="M37" s="147" t="n"/>
      <c r="N37" s="147" t="n">
        <v>45.81</v>
      </c>
      <c r="O37" s="147" t="inlineStr">
        <is>
          <t>Illumina Truseq文库</t>
        </is>
      </c>
      <c r="P37" s="147" t="inlineStr">
        <is>
          <t>未磷酸化</t>
        </is>
      </c>
      <c r="Q37" s="147" t="inlineStr">
        <is>
          <t>未环化</t>
        </is>
      </c>
      <c r="R37" s="147" t="inlineStr">
        <is>
          <t>A</t>
        </is>
      </c>
      <c r="S37" s="147" t="n"/>
    </row>
    <row r="38" ht="30" customHeight="1" s="76">
      <c r="A38" s="152" t="n"/>
      <c r="B38" s="144" t="inlineStr">
        <is>
          <t>HGC-Lib-26097316</t>
        </is>
      </c>
      <c r="C38" s="144" t="n">
        <v>42.48</v>
      </c>
      <c r="D38" s="145" t="n">
        <v>8</v>
      </c>
      <c r="E38" s="146">
        <f>ROUND(D38/SUM(D12:D84)*IF(C38="",50,50.0),3)</f>
        <v/>
      </c>
      <c r="F38" s="146">
        <f>ROUND(E38/C38*G85,3)</f>
        <v/>
      </c>
      <c r="G38" s="144" t="inlineStr">
        <is>
          <t>宏基因组</t>
        </is>
      </c>
      <c r="H38" s="144" t="inlineStr">
        <is>
          <t>广州奥智生物科技有限公司</t>
        </is>
      </c>
      <c r="I38" s="146" t="n"/>
      <c r="J38" s="144" t="n"/>
      <c r="K38" s="144" t="inlineStr">
        <is>
          <t>0727-1-2-宏_D11</t>
        </is>
      </c>
      <c r="L38" s="147" t="n"/>
      <c r="M38" s="147" t="n"/>
      <c r="N38" s="147" t="n">
        <v>42.48</v>
      </c>
      <c r="O38" s="147" t="inlineStr">
        <is>
          <t>Illumina Truseq文库</t>
        </is>
      </c>
      <c r="P38" s="147" t="inlineStr">
        <is>
          <t>未磷酸化</t>
        </is>
      </c>
      <c r="Q38" s="147" t="inlineStr">
        <is>
          <t>未环化</t>
        </is>
      </c>
      <c r="R38" s="147" t="inlineStr">
        <is>
          <t>A</t>
        </is>
      </c>
      <c r="S38" s="147" t="n"/>
    </row>
    <row r="39" ht="30" customHeight="1" s="76">
      <c r="A39" s="152" t="n"/>
      <c r="B39" s="144" t="inlineStr">
        <is>
          <t>HGC-Lib-26097317</t>
        </is>
      </c>
      <c r="C39" s="144" t="n">
        <v>40.69</v>
      </c>
      <c r="D39" s="145" t="n">
        <v>8</v>
      </c>
      <c r="E39" s="146">
        <f>ROUND(D39/SUM(D12:D84)*IF(C39="",50,50.0),3)</f>
        <v/>
      </c>
      <c r="F39" s="146">
        <f>ROUND(E39/C39*G85,3)</f>
        <v/>
      </c>
      <c r="G39" s="144" t="inlineStr">
        <is>
          <t>宏基因组</t>
        </is>
      </c>
      <c r="H39" s="144" t="inlineStr">
        <is>
          <t>广州奥智生物科技有限公司</t>
        </is>
      </c>
      <c r="I39" s="146" t="n"/>
      <c r="J39" s="144" t="n"/>
      <c r="K39" s="144" t="inlineStr">
        <is>
          <t>0727-1-2-宏_D12</t>
        </is>
      </c>
      <c r="L39" s="147" t="n"/>
      <c r="M39" s="147" t="n"/>
      <c r="N39" s="147" t="n">
        <v>40.69</v>
      </c>
      <c r="O39" s="147" t="inlineStr">
        <is>
          <t>Illumina Truseq文库</t>
        </is>
      </c>
      <c r="P39" s="147" t="inlineStr">
        <is>
          <t>未磷酸化</t>
        </is>
      </c>
      <c r="Q39" s="147" t="inlineStr">
        <is>
          <t>未环化</t>
        </is>
      </c>
      <c r="R39" s="147" t="inlineStr">
        <is>
          <t>A</t>
        </is>
      </c>
      <c r="S39" s="147" t="n"/>
    </row>
    <row r="40" ht="30" customHeight="1" s="76">
      <c r="A40" s="152" t="n"/>
      <c r="B40" s="144" t="inlineStr">
        <is>
          <t>HGC-Lib-26097318</t>
        </is>
      </c>
      <c r="C40" s="144" t="n">
        <v>39.98</v>
      </c>
      <c r="D40" s="145" t="n">
        <v>8</v>
      </c>
      <c r="E40" s="146">
        <f>ROUND(D40/SUM(D12:D84)*IF(C40="",50,50.0),3)</f>
        <v/>
      </c>
      <c r="F40" s="146">
        <f>ROUND(E40/C40*G85,3)</f>
        <v/>
      </c>
      <c r="G40" s="144" t="inlineStr">
        <is>
          <t>宏基因组</t>
        </is>
      </c>
      <c r="H40" s="144" t="inlineStr">
        <is>
          <t>广州奥智生物科技有限公司</t>
        </is>
      </c>
      <c r="I40" s="146" t="n"/>
      <c r="J40" s="144" t="n"/>
      <c r="K40" s="144" t="inlineStr">
        <is>
          <t>0727-1-2-宏_E1</t>
        </is>
      </c>
      <c r="L40" s="147" t="n"/>
      <c r="M40" s="147" t="n"/>
      <c r="N40" s="147" t="n">
        <v>39.98</v>
      </c>
      <c r="O40" s="147" t="inlineStr">
        <is>
          <t>Illumina Truseq文库</t>
        </is>
      </c>
      <c r="P40" s="147" t="inlineStr">
        <is>
          <t>未磷酸化</t>
        </is>
      </c>
      <c r="Q40" s="147" t="inlineStr">
        <is>
          <t>未环化</t>
        </is>
      </c>
      <c r="R40" s="147" t="inlineStr">
        <is>
          <t>A</t>
        </is>
      </c>
      <c r="S40" s="147" t="n"/>
    </row>
    <row r="41" ht="30" customHeight="1" s="76">
      <c r="A41" s="152" t="n"/>
      <c r="B41" s="144" t="inlineStr">
        <is>
          <t>HGC-Lib-26097319</t>
        </is>
      </c>
      <c r="C41" s="144" t="n">
        <v>34.52</v>
      </c>
      <c r="D41" s="145" t="n">
        <v>8</v>
      </c>
      <c r="E41" s="146">
        <f>ROUND(D41/SUM(D12:D84)*IF(C41="",50,50.0),3)</f>
        <v/>
      </c>
      <c r="F41" s="146">
        <f>ROUND(E41/C41*G85,3)</f>
        <v/>
      </c>
      <c r="G41" s="144" t="inlineStr">
        <is>
          <t>宏基因组</t>
        </is>
      </c>
      <c r="H41" s="144" t="inlineStr">
        <is>
          <t>广州奥智生物科技有限公司</t>
        </is>
      </c>
      <c r="I41" s="146" t="n"/>
      <c r="J41" s="144" t="n"/>
      <c r="K41" s="144" t="inlineStr">
        <is>
          <t>0727-1-2-宏_E2</t>
        </is>
      </c>
      <c r="L41" s="147" t="n"/>
      <c r="M41" s="147" t="n"/>
      <c r="N41" s="147" t="n">
        <v>34.52</v>
      </c>
      <c r="O41" s="147" t="inlineStr">
        <is>
          <t>Illumina Truseq文库</t>
        </is>
      </c>
      <c r="P41" s="147" t="inlineStr">
        <is>
          <t>未磷酸化</t>
        </is>
      </c>
      <c r="Q41" s="147" t="inlineStr">
        <is>
          <t>未环化</t>
        </is>
      </c>
      <c r="R41" s="147" t="inlineStr">
        <is>
          <t>A</t>
        </is>
      </c>
      <c r="S41" s="147" t="n"/>
    </row>
    <row r="42" ht="30" customHeight="1" s="76">
      <c r="A42" s="152" t="n"/>
      <c r="B42" s="144" t="inlineStr">
        <is>
          <t>HGC-Lib-26097320</t>
        </is>
      </c>
      <c r="C42" s="144" t="n">
        <v>25.37</v>
      </c>
      <c r="D42" s="145" t="n">
        <v>8</v>
      </c>
      <c r="E42" s="146">
        <f>ROUND(D42/SUM(D12:D84)*IF(C42="",50,50.0),3)</f>
        <v/>
      </c>
      <c r="F42" s="146">
        <f>ROUND(E42/C42*G85,3)</f>
        <v/>
      </c>
      <c r="G42" s="144" t="inlineStr">
        <is>
          <t>宏基因组</t>
        </is>
      </c>
      <c r="H42" s="144" t="inlineStr">
        <is>
          <t>广州奥智生物科技有限公司</t>
        </is>
      </c>
      <c r="I42" s="146" t="n"/>
      <c r="J42" s="144" t="n"/>
      <c r="K42" s="144" t="inlineStr">
        <is>
          <t>0727-1-2-宏_E3</t>
        </is>
      </c>
      <c r="L42" s="147" t="n"/>
      <c r="M42" s="147" t="n"/>
      <c r="N42" s="147" t="n">
        <v>25.37</v>
      </c>
      <c r="O42" s="147" t="inlineStr">
        <is>
          <t>Illumina Truseq文库</t>
        </is>
      </c>
      <c r="P42" s="147" t="inlineStr">
        <is>
          <t>未磷酸化</t>
        </is>
      </c>
      <c r="Q42" s="147" t="inlineStr">
        <is>
          <t>未环化</t>
        </is>
      </c>
      <c r="R42" s="147" t="inlineStr">
        <is>
          <t>A</t>
        </is>
      </c>
      <c r="S42" s="147" t="n"/>
    </row>
    <row r="43" ht="30" customHeight="1" s="76">
      <c r="A43" s="152" t="n"/>
      <c r="B43" s="144" t="inlineStr">
        <is>
          <t>HGC-Lib-26097321</t>
        </is>
      </c>
      <c r="C43" s="144" t="n">
        <v>44.32</v>
      </c>
      <c r="D43" s="145" t="n">
        <v>8</v>
      </c>
      <c r="E43" s="146">
        <f>ROUND(D43/SUM(D12:D84)*IF(C43="",50,50.0),3)</f>
        <v/>
      </c>
      <c r="F43" s="146">
        <f>ROUND(E43/C43*G85,3)</f>
        <v/>
      </c>
      <c r="G43" s="144" t="inlineStr">
        <is>
          <t>宏基因组</t>
        </is>
      </c>
      <c r="H43" s="144" t="inlineStr">
        <is>
          <t>广州奥智生物科技有限公司</t>
        </is>
      </c>
      <c r="I43" s="146" t="n"/>
      <c r="J43" s="144" t="n"/>
      <c r="K43" s="144" t="inlineStr">
        <is>
          <t>0727-1-2-宏_E4</t>
        </is>
      </c>
      <c r="L43" s="147" t="n"/>
      <c r="M43" s="147" t="n"/>
      <c r="N43" s="147" t="n">
        <v>44.32</v>
      </c>
      <c r="O43" s="147" t="inlineStr">
        <is>
          <t>Illumina Truseq文库</t>
        </is>
      </c>
      <c r="P43" s="147" t="inlineStr">
        <is>
          <t>未磷酸化</t>
        </is>
      </c>
      <c r="Q43" s="147" t="inlineStr">
        <is>
          <t>未环化</t>
        </is>
      </c>
      <c r="R43" s="147" t="inlineStr">
        <is>
          <t>A</t>
        </is>
      </c>
      <c r="S43" s="147" t="n"/>
    </row>
    <row r="44" ht="30" customHeight="1" s="76">
      <c r="A44" s="152" t="n"/>
      <c r="B44" s="144" t="inlineStr">
        <is>
          <t>HGC-Lib-26097322</t>
        </is>
      </c>
      <c r="C44" s="144" t="n">
        <v>45.78</v>
      </c>
      <c r="D44" s="145" t="n">
        <v>8</v>
      </c>
      <c r="E44" s="146">
        <f>ROUND(D44/SUM(D12:D84)*IF(C44="",50,50.0),3)</f>
        <v/>
      </c>
      <c r="F44" s="146">
        <f>ROUND(E44/C44*G85,3)</f>
        <v/>
      </c>
      <c r="G44" s="144" t="inlineStr">
        <is>
          <t>宏基因组</t>
        </is>
      </c>
      <c r="H44" s="144" t="inlineStr">
        <is>
          <t>广州奥智生物科技有限公司</t>
        </is>
      </c>
      <c r="I44" s="146" t="n"/>
      <c r="J44" s="144" t="n"/>
      <c r="K44" s="144" t="inlineStr">
        <is>
          <t>0727-1-2-宏_E5</t>
        </is>
      </c>
      <c r="L44" s="147" t="n"/>
      <c r="M44" s="147" t="n"/>
      <c r="N44" s="147" t="n">
        <v>45.78</v>
      </c>
      <c r="O44" s="147" t="inlineStr">
        <is>
          <t>Illumina Truseq文库</t>
        </is>
      </c>
      <c r="P44" s="147" t="inlineStr">
        <is>
          <t>未磷酸化</t>
        </is>
      </c>
      <c r="Q44" s="147" t="inlineStr">
        <is>
          <t>未环化</t>
        </is>
      </c>
      <c r="R44" s="147" t="inlineStr">
        <is>
          <t>A</t>
        </is>
      </c>
      <c r="S44" s="147" t="n"/>
    </row>
    <row r="45" ht="30" customHeight="1" s="76">
      <c r="A45" s="152" t="n"/>
      <c r="B45" s="144" t="inlineStr">
        <is>
          <t>HGC-Lib-26097323</t>
        </is>
      </c>
      <c r="C45" s="144" t="n">
        <v>42.05</v>
      </c>
      <c r="D45" s="145" t="n">
        <v>8</v>
      </c>
      <c r="E45" s="146">
        <f>ROUND(D45/SUM(D12:D84)*IF(C45="",50,50.0),3)</f>
        <v/>
      </c>
      <c r="F45" s="146">
        <f>ROUND(E45/C45*G85,3)</f>
        <v/>
      </c>
      <c r="G45" s="144" t="inlineStr">
        <is>
          <t>宏基因组</t>
        </is>
      </c>
      <c r="H45" s="144" t="inlineStr">
        <is>
          <t>广州奥智生物科技有限公司</t>
        </is>
      </c>
      <c r="I45" s="146" t="n"/>
      <c r="J45" s="144" t="n"/>
      <c r="K45" s="144" t="inlineStr">
        <is>
          <t>0727-1-2-宏_E6</t>
        </is>
      </c>
      <c r="L45" s="147" t="n"/>
      <c r="M45" s="147" t="n"/>
      <c r="N45" s="147" t="n">
        <v>42.05</v>
      </c>
      <c r="O45" s="147" t="inlineStr">
        <is>
          <t>Illumina Truseq文库</t>
        </is>
      </c>
      <c r="P45" s="147" t="inlineStr">
        <is>
          <t>未磷酸化</t>
        </is>
      </c>
      <c r="Q45" s="147" t="inlineStr">
        <is>
          <t>未环化</t>
        </is>
      </c>
      <c r="R45" s="147" t="inlineStr">
        <is>
          <t>A</t>
        </is>
      </c>
      <c r="S45" s="147" t="n"/>
    </row>
    <row r="46" ht="30" customHeight="1" s="76">
      <c r="A46" s="152" t="n"/>
      <c r="B46" s="144" t="inlineStr">
        <is>
          <t>HGC-Lib-26097324</t>
        </is>
      </c>
      <c r="C46" s="144" t="n">
        <v>45.94</v>
      </c>
      <c r="D46" s="145" t="n">
        <v>8</v>
      </c>
      <c r="E46" s="146">
        <f>ROUND(D46/SUM(D12:D84)*IF(C46="",50,50.0),3)</f>
        <v/>
      </c>
      <c r="F46" s="146">
        <f>ROUND(E46/C46*G85,3)</f>
        <v/>
      </c>
      <c r="G46" s="144" t="inlineStr">
        <is>
          <t>宏基因组</t>
        </is>
      </c>
      <c r="H46" s="144" t="inlineStr">
        <is>
          <t>广州奥智生物科技有限公司</t>
        </is>
      </c>
      <c r="I46" s="146" t="n"/>
      <c r="J46" s="144" t="n"/>
      <c r="K46" s="144" t="inlineStr">
        <is>
          <t>0727-1-2-宏_E7</t>
        </is>
      </c>
      <c r="L46" s="147" t="n"/>
      <c r="M46" s="147" t="n"/>
      <c r="N46" s="147" t="n">
        <v>45.94</v>
      </c>
      <c r="O46" s="147" t="inlineStr">
        <is>
          <t>Illumina Truseq文库</t>
        </is>
      </c>
      <c r="P46" s="147" t="inlineStr">
        <is>
          <t>未磷酸化</t>
        </is>
      </c>
      <c r="Q46" s="147" t="inlineStr">
        <is>
          <t>未环化</t>
        </is>
      </c>
      <c r="R46" s="147" t="inlineStr">
        <is>
          <t>A</t>
        </is>
      </c>
      <c r="S46" s="147" t="n"/>
    </row>
    <row r="47" ht="30" customHeight="1" s="76">
      <c r="A47" s="152" t="n"/>
      <c r="B47" s="144" t="inlineStr">
        <is>
          <t>HGC-Lib-26097325</t>
        </is>
      </c>
      <c r="C47" s="144" t="n">
        <v>30.75</v>
      </c>
      <c r="D47" s="145" t="n">
        <v>8</v>
      </c>
      <c r="E47" s="146">
        <f>ROUND(D47/SUM(D12:D84)*IF(C47="",50,50.0),3)</f>
        <v/>
      </c>
      <c r="F47" s="146">
        <f>ROUND(E47/C47*G85,3)</f>
        <v/>
      </c>
      <c r="G47" s="144" t="inlineStr">
        <is>
          <t>宏基因组</t>
        </is>
      </c>
      <c r="H47" s="144" t="inlineStr">
        <is>
          <t>广州奥智生物科技有限公司</t>
        </is>
      </c>
      <c r="I47" s="146" t="n"/>
      <c r="J47" s="144" t="n"/>
      <c r="K47" s="144" t="inlineStr">
        <is>
          <t>0727-1-2-宏_E8</t>
        </is>
      </c>
      <c r="L47" s="147" t="n"/>
      <c r="M47" s="147" t="n"/>
      <c r="N47" s="147" t="n">
        <v>30.75</v>
      </c>
      <c r="O47" s="147" t="inlineStr">
        <is>
          <t>Illumina Truseq文库</t>
        </is>
      </c>
      <c r="P47" s="147" t="inlineStr">
        <is>
          <t>未磷酸化</t>
        </is>
      </c>
      <c r="Q47" s="147" t="inlineStr">
        <is>
          <t>未环化</t>
        </is>
      </c>
      <c r="R47" s="147" t="inlineStr">
        <is>
          <t>A</t>
        </is>
      </c>
      <c r="S47" s="147" t="n"/>
    </row>
    <row r="48" ht="30" customHeight="1" s="76">
      <c r="A48" s="152" t="n"/>
      <c r="B48" s="144" t="inlineStr">
        <is>
          <t>HGC-Lib-26097326</t>
        </is>
      </c>
      <c r="C48" s="144" t="n">
        <v>30.73</v>
      </c>
      <c r="D48" s="145" t="n">
        <v>8</v>
      </c>
      <c r="E48" s="146">
        <f>ROUND(D48/SUM(D12:D84)*IF(C48="",50,50.0),3)</f>
        <v/>
      </c>
      <c r="F48" s="146">
        <f>ROUND(E48/C48*G85,3)</f>
        <v/>
      </c>
      <c r="G48" s="144" t="inlineStr">
        <is>
          <t>宏基因组</t>
        </is>
      </c>
      <c r="H48" s="144" t="inlineStr">
        <is>
          <t>广州奥智生物科技有限公司</t>
        </is>
      </c>
      <c r="I48" s="146" t="n"/>
      <c r="J48" s="144" t="n"/>
      <c r="K48" s="144" t="inlineStr">
        <is>
          <t>0727-1-2-宏_E9</t>
        </is>
      </c>
      <c r="L48" s="147" t="n"/>
      <c r="M48" s="147" t="n"/>
      <c r="N48" s="147" t="n">
        <v>30.73</v>
      </c>
      <c r="O48" s="147" t="inlineStr">
        <is>
          <t>Illumina Truseq文库</t>
        </is>
      </c>
      <c r="P48" s="147" t="inlineStr">
        <is>
          <t>未磷酸化</t>
        </is>
      </c>
      <c r="Q48" s="147" t="inlineStr">
        <is>
          <t>未环化</t>
        </is>
      </c>
      <c r="R48" s="147" t="inlineStr">
        <is>
          <t>A</t>
        </is>
      </c>
      <c r="S48" s="147" t="n"/>
    </row>
    <row r="49" ht="30" customHeight="1" s="76">
      <c r="A49" s="152" t="n"/>
      <c r="B49" s="144" t="inlineStr">
        <is>
          <t>HGC-Lib-26097327</t>
        </is>
      </c>
      <c r="C49" s="144" t="n">
        <v>28.64</v>
      </c>
      <c r="D49" s="145" t="n">
        <v>8</v>
      </c>
      <c r="E49" s="146">
        <f>ROUND(D49/SUM(D12:D84)*IF(C49="",50,50.0),3)</f>
        <v/>
      </c>
      <c r="F49" s="146">
        <f>ROUND(E49/C49*G85,3)</f>
        <v/>
      </c>
      <c r="G49" s="144" t="inlineStr">
        <is>
          <t>宏基因组</t>
        </is>
      </c>
      <c r="H49" s="144" t="inlineStr">
        <is>
          <t>广州奥智生物科技有限公司</t>
        </is>
      </c>
      <c r="I49" s="146" t="n"/>
      <c r="J49" s="144" t="n"/>
      <c r="K49" s="144" t="inlineStr">
        <is>
          <t>0727-1-2-宏_E10</t>
        </is>
      </c>
      <c r="L49" s="147" t="n"/>
      <c r="M49" s="147" t="n"/>
      <c r="N49" s="147" t="n">
        <v>28.64</v>
      </c>
      <c r="O49" s="147" t="inlineStr">
        <is>
          <t>Illumina Truseq文库</t>
        </is>
      </c>
      <c r="P49" s="147" t="inlineStr">
        <is>
          <t>未磷酸化</t>
        </is>
      </c>
      <c r="Q49" s="147" t="inlineStr">
        <is>
          <t>未环化</t>
        </is>
      </c>
      <c r="R49" s="147" t="inlineStr">
        <is>
          <t>A</t>
        </is>
      </c>
      <c r="S49" s="147" t="n"/>
    </row>
    <row r="50" ht="30" customHeight="1" s="76">
      <c r="A50" s="152" t="n"/>
      <c r="B50" s="144" t="inlineStr">
        <is>
          <t>HGC-Lib-26097328</t>
        </is>
      </c>
      <c r="C50" s="144" t="n">
        <v>36.41</v>
      </c>
      <c r="D50" s="145" t="n">
        <v>8</v>
      </c>
      <c r="E50" s="146">
        <f>ROUND(D50/SUM(D12:D84)*IF(C50="",50,50.0),3)</f>
        <v/>
      </c>
      <c r="F50" s="146">
        <f>ROUND(E50/C50*G85,3)</f>
        <v/>
      </c>
      <c r="G50" s="144" t="inlineStr">
        <is>
          <t>宏基因组</t>
        </is>
      </c>
      <c r="H50" s="144" t="inlineStr">
        <is>
          <t>广州奥智生物科技有限公司</t>
        </is>
      </c>
      <c r="I50" s="146" t="n"/>
      <c r="J50" s="144" t="n"/>
      <c r="K50" s="144" t="inlineStr">
        <is>
          <t>0727-1-2-宏_E11</t>
        </is>
      </c>
      <c r="L50" s="147" t="n"/>
      <c r="M50" s="147" t="n"/>
      <c r="N50" s="147" t="n">
        <v>36.41</v>
      </c>
      <c r="O50" s="147" t="inlineStr">
        <is>
          <t>Illumina Truseq文库</t>
        </is>
      </c>
      <c r="P50" s="147" t="inlineStr">
        <is>
          <t>未磷酸化</t>
        </is>
      </c>
      <c r="Q50" s="147" t="inlineStr">
        <is>
          <t>未环化</t>
        </is>
      </c>
      <c r="R50" s="147" t="inlineStr">
        <is>
          <t>A</t>
        </is>
      </c>
      <c r="S50" s="147" t="n"/>
    </row>
    <row r="51" ht="30" customHeight="1" s="76">
      <c r="A51" s="152" t="n"/>
      <c r="B51" s="144" t="inlineStr">
        <is>
          <t>HGC-Lib-26097329</t>
        </is>
      </c>
      <c r="C51" s="144" t="n">
        <v>32.73</v>
      </c>
      <c r="D51" s="145" t="n">
        <v>8</v>
      </c>
      <c r="E51" s="146">
        <f>ROUND(D51/SUM(D12:D84)*IF(C51="",50,50.0),3)</f>
        <v/>
      </c>
      <c r="F51" s="146">
        <f>ROUND(E51/C51*G85,3)</f>
        <v/>
      </c>
      <c r="G51" s="144" t="inlineStr">
        <is>
          <t>宏基因组</t>
        </is>
      </c>
      <c r="H51" s="144" t="inlineStr">
        <is>
          <t>广州奥智生物科技有限公司</t>
        </is>
      </c>
      <c r="I51" s="146" t="n"/>
      <c r="J51" s="144" t="n"/>
      <c r="K51" s="144" t="inlineStr">
        <is>
          <t>0727-1-2-宏_E12</t>
        </is>
      </c>
      <c r="L51" s="147" t="n"/>
      <c r="M51" s="147" t="n"/>
      <c r="N51" s="147" t="n">
        <v>32.73</v>
      </c>
      <c r="O51" s="147" t="inlineStr">
        <is>
          <t>Illumina Truseq文库</t>
        </is>
      </c>
      <c r="P51" s="147" t="inlineStr">
        <is>
          <t>未磷酸化</t>
        </is>
      </c>
      <c r="Q51" s="147" t="inlineStr">
        <is>
          <t>未环化</t>
        </is>
      </c>
      <c r="R51" s="147" t="inlineStr">
        <is>
          <t>A</t>
        </is>
      </c>
      <c r="S51" s="147" t="n"/>
    </row>
    <row r="52" ht="30" customHeight="1" s="76">
      <c r="A52" s="152" t="n"/>
      <c r="B52" s="144" t="inlineStr">
        <is>
          <t>HGC-Lib-26097330</t>
        </is>
      </c>
      <c r="C52" s="144" t="n">
        <v>54.69</v>
      </c>
      <c r="D52" s="145" t="n">
        <v>8</v>
      </c>
      <c r="E52" s="146">
        <f>ROUND(D52/SUM(D12:D84)*IF(C52="",50,50.0),3)</f>
        <v/>
      </c>
      <c r="F52" s="146">
        <f>ROUND(E52/C52*G85,3)</f>
        <v/>
      </c>
      <c r="G52" s="144" t="inlineStr">
        <is>
          <t>宏基因组</t>
        </is>
      </c>
      <c r="H52" s="144" t="inlineStr">
        <is>
          <t>广州奥智生物科技有限公司</t>
        </is>
      </c>
      <c r="I52" s="146" t="n"/>
      <c r="J52" s="144" t="n"/>
      <c r="K52" s="144" t="inlineStr">
        <is>
          <t>0727-1-2-宏_F1</t>
        </is>
      </c>
      <c r="L52" s="147" t="n"/>
      <c r="M52" s="147" t="n"/>
      <c r="N52" s="147" t="n">
        <v>54.69</v>
      </c>
      <c r="O52" s="147" t="inlineStr">
        <is>
          <t>Illumina Truseq文库</t>
        </is>
      </c>
      <c r="P52" s="147" t="inlineStr">
        <is>
          <t>未磷酸化</t>
        </is>
      </c>
      <c r="Q52" s="147" t="inlineStr">
        <is>
          <t>未环化</t>
        </is>
      </c>
      <c r="R52" s="147" t="inlineStr">
        <is>
          <t>A</t>
        </is>
      </c>
      <c r="S52" s="147" t="n"/>
    </row>
    <row r="53" ht="30" customHeight="1" s="76">
      <c r="A53" s="152" t="n"/>
      <c r="B53" s="144" t="inlineStr">
        <is>
          <t>HGC-Lib-26097331</t>
        </is>
      </c>
      <c r="C53" s="144" t="n">
        <v>49.45</v>
      </c>
      <c r="D53" s="145" t="n">
        <v>8</v>
      </c>
      <c r="E53" s="146">
        <f>ROUND(D53/SUM(D12:D84)*IF(C53="",50,50.0),3)</f>
        <v/>
      </c>
      <c r="F53" s="146">
        <f>ROUND(E53/C53*G85,3)</f>
        <v/>
      </c>
      <c r="G53" s="144" t="inlineStr">
        <is>
          <t>宏基因组</t>
        </is>
      </c>
      <c r="H53" s="144" t="inlineStr">
        <is>
          <t>广州奥智生物科技有限公司</t>
        </is>
      </c>
      <c r="I53" s="146" t="n"/>
      <c r="J53" s="144" t="n"/>
      <c r="K53" s="144" t="inlineStr">
        <is>
          <t>0727-1-2-宏_F2</t>
        </is>
      </c>
      <c r="L53" s="147" t="n"/>
      <c r="M53" s="147" t="n"/>
      <c r="N53" s="147" t="n">
        <v>49.45</v>
      </c>
      <c r="O53" s="147" t="inlineStr">
        <is>
          <t>Illumina Truseq文库</t>
        </is>
      </c>
      <c r="P53" s="147" t="inlineStr">
        <is>
          <t>未磷酸化</t>
        </is>
      </c>
      <c r="Q53" s="147" t="inlineStr">
        <is>
          <t>未环化</t>
        </is>
      </c>
      <c r="R53" s="147" t="inlineStr">
        <is>
          <t>A</t>
        </is>
      </c>
      <c r="S53" s="147" t="n"/>
    </row>
    <row r="54" ht="30" customHeight="1" s="76">
      <c r="A54" s="152" t="n"/>
      <c r="B54" s="144" t="inlineStr">
        <is>
          <t>HGC-Lib-26097332</t>
        </is>
      </c>
      <c r="C54" s="144" t="n">
        <v>41.84</v>
      </c>
      <c r="D54" s="145" t="n">
        <v>8</v>
      </c>
      <c r="E54" s="146">
        <f>ROUND(D54/SUM(D12:D84)*IF(C54="",50,50.0),3)</f>
        <v/>
      </c>
      <c r="F54" s="146">
        <f>ROUND(E54/C54*G85,3)</f>
        <v/>
      </c>
      <c r="G54" s="144" t="inlineStr">
        <is>
          <t>宏基因组</t>
        </is>
      </c>
      <c r="H54" s="144" t="inlineStr">
        <is>
          <t>广州奥智生物科技有限公司</t>
        </is>
      </c>
      <c r="I54" s="146" t="n"/>
      <c r="J54" s="144" t="n"/>
      <c r="K54" s="144" t="inlineStr">
        <is>
          <t>0727-1-2-宏_F3</t>
        </is>
      </c>
      <c r="L54" s="147" t="n"/>
      <c r="M54" s="147" t="n"/>
      <c r="N54" s="147" t="n">
        <v>41.84</v>
      </c>
      <c r="O54" s="147" t="inlineStr">
        <is>
          <t>Illumina Truseq文库</t>
        </is>
      </c>
      <c r="P54" s="147" t="inlineStr">
        <is>
          <t>未磷酸化</t>
        </is>
      </c>
      <c r="Q54" s="147" t="inlineStr">
        <is>
          <t>未环化</t>
        </is>
      </c>
      <c r="R54" s="147" t="inlineStr">
        <is>
          <t>A</t>
        </is>
      </c>
      <c r="S54" s="147" t="n"/>
    </row>
    <row r="55" ht="30" customHeight="1" s="76">
      <c r="A55" s="152" t="n"/>
      <c r="B55" s="144" t="inlineStr">
        <is>
          <t>HGC-Lib-26097333</t>
        </is>
      </c>
      <c r="C55" s="144" t="n">
        <v>42.01</v>
      </c>
      <c r="D55" s="145" t="n">
        <v>8</v>
      </c>
      <c r="E55" s="146">
        <f>ROUND(D55/SUM(D12:D84)*IF(C55="",50,50.0),3)</f>
        <v/>
      </c>
      <c r="F55" s="146">
        <f>ROUND(E55/C55*G85,3)</f>
        <v/>
      </c>
      <c r="G55" s="144" t="inlineStr">
        <is>
          <t>宏基因组</t>
        </is>
      </c>
      <c r="H55" s="144" t="inlineStr">
        <is>
          <t>广州奥智生物科技有限公司</t>
        </is>
      </c>
      <c r="I55" s="146" t="n"/>
      <c r="J55" s="144" t="n"/>
      <c r="K55" s="144" t="inlineStr">
        <is>
          <t>0727-1-2-宏_F4</t>
        </is>
      </c>
      <c r="L55" s="147" t="n"/>
      <c r="M55" s="147" t="n"/>
      <c r="N55" s="147" t="n">
        <v>42.01</v>
      </c>
      <c r="O55" s="147" t="inlineStr">
        <is>
          <t>Illumina Truseq文库</t>
        </is>
      </c>
      <c r="P55" s="147" t="inlineStr">
        <is>
          <t>未磷酸化</t>
        </is>
      </c>
      <c r="Q55" s="147" t="inlineStr">
        <is>
          <t>未环化</t>
        </is>
      </c>
      <c r="R55" s="147" t="inlineStr">
        <is>
          <t>A</t>
        </is>
      </c>
      <c r="S55" s="147" t="n"/>
    </row>
    <row r="56" ht="30" customHeight="1" s="76">
      <c r="A56" s="152" t="n"/>
      <c r="B56" s="144" t="inlineStr">
        <is>
          <t>HGC-Lib-26097334</t>
        </is>
      </c>
      <c r="C56" s="144" t="n">
        <v>27.08</v>
      </c>
      <c r="D56" s="145" t="n">
        <v>8</v>
      </c>
      <c r="E56" s="146">
        <f>ROUND(D56/SUM(D12:D84)*IF(C56="",50,50.0),3)</f>
        <v/>
      </c>
      <c r="F56" s="146">
        <f>ROUND(E56/C56*G85,3)</f>
        <v/>
      </c>
      <c r="G56" s="144" t="inlineStr">
        <is>
          <t>宏基因组</t>
        </is>
      </c>
      <c r="H56" s="144" t="inlineStr">
        <is>
          <t>广州奥智生物科技有限公司</t>
        </is>
      </c>
      <c r="I56" s="146" t="n"/>
      <c r="J56" s="144" t="n"/>
      <c r="K56" s="144" t="inlineStr">
        <is>
          <t>0727-1-2-宏_F5</t>
        </is>
      </c>
      <c r="L56" s="147" t="n"/>
      <c r="M56" s="147" t="n"/>
      <c r="N56" s="147" t="n">
        <v>27.08</v>
      </c>
      <c r="O56" s="147" t="inlineStr">
        <is>
          <t>Illumina Truseq文库</t>
        </is>
      </c>
      <c r="P56" s="147" t="inlineStr">
        <is>
          <t>未磷酸化</t>
        </is>
      </c>
      <c r="Q56" s="147" t="inlineStr">
        <is>
          <t>未环化</t>
        </is>
      </c>
      <c r="R56" s="147" t="inlineStr">
        <is>
          <t>A</t>
        </is>
      </c>
      <c r="S56" s="147" t="n"/>
    </row>
    <row r="57" ht="30" customHeight="1" s="76">
      <c r="A57" s="152" t="n"/>
      <c r="B57" s="144" t="inlineStr">
        <is>
          <t>HGC-Lib-26097335</t>
        </is>
      </c>
      <c r="C57" s="144" t="n">
        <v>43.59</v>
      </c>
      <c r="D57" s="145" t="n">
        <v>8</v>
      </c>
      <c r="E57" s="146">
        <f>ROUND(D57/SUM(D12:D84)*IF(C57="",50,50.0),3)</f>
        <v/>
      </c>
      <c r="F57" s="146">
        <f>ROUND(E57/C57*G85,3)</f>
        <v/>
      </c>
      <c r="G57" s="144" t="inlineStr">
        <is>
          <t>宏基因组</t>
        </is>
      </c>
      <c r="H57" s="144" t="inlineStr">
        <is>
          <t>广州奥智生物科技有限公司</t>
        </is>
      </c>
      <c r="I57" s="146" t="n"/>
      <c r="J57" s="144" t="n"/>
      <c r="K57" s="144" t="inlineStr">
        <is>
          <t>0727-1-2-宏_F6</t>
        </is>
      </c>
      <c r="L57" s="147" t="n"/>
      <c r="M57" s="147" t="n"/>
      <c r="N57" s="147" t="n">
        <v>43.59</v>
      </c>
      <c r="O57" s="147" t="inlineStr">
        <is>
          <t>Illumina Truseq文库</t>
        </is>
      </c>
      <c r="P57" s="147" t="inlineStr">
        <is>
          <t>未磷酸化</t>
        </is>
      </c>
      <c r="Q57" s="147" t="inlineStr">
        <is>
          <t>未环化</t>
        </is>
      </c>
      <c r="R57" s="147" t="inlineStr">
        <is>
          <t>A</t>
        </is>
      </c>
      <c r="S57" s="147" t="n"/>
    </row>
    <row r="58" ht="30" customHeight="1" s="76">
      <c r="A58" s="152" t="n"/>
      <c r="B58" s="144" t="inlineStr">
        <is>
          <t>HGC-Lib-26097336</t>
        </is>
      </c>
      <c r="C58" s="144" t="n">
        <v>40.34</v>
      </c>
      <c r="D58" s="145" t="n">
        <v>8</v>
      </c>
      <c r="E58" s="146">
        <f>ROUND(D58/SUM(D12:D84)*IF(C58="",50,50.0),3)</f>
        <v/>
      </c>
      <c r="F58" s="146">
        <f>ROUND(E58/C58*G85,3)</f>
        <v/>
      </c>
      <c r="G58" s="144" t="inlineStr">
        <is>
          <t>宏基因组</t>
        </is>
      </c>
      <c r="H58" s="144" t="inlineStr">
        <is>
          <t>广州奥智生物科技有限公司</t>
        </is>
      </c>
      <c r="I58" s="146" t="n"/>
      <c r="J58" s="144" t="n"/>
      <c r="K58" s="144" t="inlineStr">
        <is>
          <t>0727-1-2-宏_F7</t>
        </is>
      </c>
      <c r="L58" s="147" t="n"/>
      <c r="M58" s="147" t="n"/>
      <c r="N58" s="147" t="n">
        <v>40.34</v>
      </c>
      <c r="O58" s="147" t="inlineStr">
        <is>
          <t>Illumina Truseq文库</t>
        </is>
      </c>
      <c r="P58" s="147" t="inlineStr">
        <is>
          <t>未磷酸化</t>
        </is>
      </c>
      <c r="Q58" s="147" t="inlineStr">
        <is>
          <t>未环化</t>
        </is>
      </c>
      <c r="R58" s="147" t="inlineStr">
        <is>
          <t>A</t>
        </is>
      </c>
      <c r="S58" s="147" t="n"/>
    </row>
    <row r="59" ht="30" customHeight="1" s="76">
      <c r="A59" s="152" t="n"/>
      <c r="B59" s="144" t="inlineStr">
        <is>
          <t>HGC-Lib-26097337</t>
        </is>
      </c>
      <c r="C59" s="144" t="n">
        <v>34.07</v>
      </c>
      <c r="D59" s="145" t="n">
        <v>8</v>
      </c>
      <c r="E59" s="146">
        <f>ROUND(D59/SUM(D12:D84)*IF(C59="",50,50.0),3)</f>
        <v/>
      </c>
      <c r="F59" s="146">
        <f>ROUND(E59/C59*G85,3)</f>
        <v/>
      </c>
      <c r="G59" s="144" t="inlineStr">
        <is>
          <t>宏基因组</t>
        </is>
      </c>
      <c r="H59" s="144" t="inlineStr">
        <is>
          <t>广州奥智生物科技有限公司</t>
        </is>
      </c>
      <c r="I59" s="146" t="n"/>
      <c r="J59" s="144" t="n"/>
      <c r="K59" s="144" t="inlineStr">
        <is>
          <t>0727-1-2-宏_F8</t>
        </is>
      </c>
      <c r="L59" s="147" t="n"/>
      <c r="M59" s="147" t="n"/>
      <c r="N59" s="147" t="n">
        <v>34.07</v>
      </c>
      <c r="O59" s="147" t="inlineStr">
        <is>
          <t>Illumina Truseq文库</t>
        </is>
      </c>
      <c r="P59" s="147" t="inlineStr">
        <is>
          <t>未磷酸化</t>
        </is>
      </c>
      <c r="Q59" s="147" t="inlineStr">
        <is>
          <t>未环化</t>
        </is>
      </c>
      <c r="R59" s="147" t="inlineStr">
        <is>
          <t>A</t>
        </is>
      </c>
      <c r="S59" s="147" t="n"/>
    </row>
    <row r="60" ht="30" customHeight="1" s="76">
      <c r="A60" s="152" t="n"/>
      <c r="B60" s="144" t="inlineStr">
        <is>
          <t>HGC-Lib-26097338</t>
        </is>
      </c>
      <c r="C60" s="144" t="n">
        <v>37.08</v>
      </c>
      <c r="D60" s="145" t="n">
        <v>8</v>
      </c>
      <c r="E60" s="146">
        <f>ROUND(D60/SUM(D12:D84)*IF(C60="",50,50.0),3)</f>
        <v/>
      </c>
      <c r="F60" s="146">
        <f>ROUND(E60/C60*G85,3)</f>
        <v/>
      </c>
      <c r="G60" s="144" t="inlineStr">
        <is>
          <t>宏基因组</t>
        </is>
      </c>
      <c r="H60" s="144" t="inlineStr">
        <is>
          <t>广州奥智生物科技有限公司</t>
        </is>
      </c>
      <c r="I60" s="146" t="n"/>
      <c r="J60" s="144" t="n"/>
      <c r="K60" s="144" t="inlineStr">
        <is>
          <t>0727-1-2-宏_F9</t>
        </is>
      </c>
      <c r="L60" s="147" t="n"/>
      <c r="M60" s="147" t="n"/>
      <c r="N60" s="147" t="n">
        <v>37.08</v>
      </c>
      <c r="O60" s="147" t="inlineStr">
        <is>
          <t>Illumina Truseq文库</t>
        </is>
      </c>
      <c r="P60" s="147" t="inlineStr">
        <is>
          <t>未磷酸化</t>
        </is>
      </c>
      <c r="Q60" s="147" t="inlineStr">
        <is>
          <t>未环化</t>
        </is>
      </c>
      <c r="R60" s="147" t="inlineStr">
        <is>
          <t>A</t>
        </is>
      </c>
      <c r="S60" s="147" t="n"/>
    </row>
    <row r="61" ht="30" customHeight="1" s="76">
      <c r="A61" s="152" t="n"/>
      <c r="B61" s="144" t="inlineStr">
        <is>
          <t>HGC-Lib-26097339</t>
        </is>
      </c>
      <c r="C61" s="144" t="n">
        <v>45.86</v>
      </c>
      <c r="D61" s="145" t="n">
        <v>8</v>
      </c>
      <c r="E61" s="146">
        <f>ROUND(D61/SUM(D12:D84)*IF(C61="",50,50.0),3)</f>
        <v/>
      </c>
      <c r="F61" s="146">
        <f>ROUND(E61/C61*G85,3)</f>
        <v/>
      </c>
      <c r="G61" s="144" t="inlineStr">
        <is>
          <t>宏基因组</t>
        </is>
      </c>
      <c r="H61" s="144" t="inlineStr">
        <is>
          <t>广州奥智生物科技有限公司</t>
        </is>
      </c>
      <c r="I61" s="146" t="n"/>
      <c r="J61" s="144" t="n"/>
      <c r="K61" s="144" t="inlineStr">
        <is>
          <t>0727-1-2-宏_F10</t>
        </is>
      </c>
      <c r="L61" s="147" t="n"/>
      <c r="M61" s="147" t="n"/>
      <c r="N61" s="147" t="n">
        <v>45.86</v>
      </c>
      <c r="O61" s="147" t="inlineStr">
        <is>
          <t>Illumina Truseq文库</t>
        </is>
      </c>
      <c r="P61" s="147" t="inlineStr">
        <is>
          <t>未磷酸化</t>
        </is>
      </c>
      <c r="Q61" s="147" t="inlineStr">
        <is>
          <t>未环化</t>
        </is>
      </c>
      <c r="R61" s="147" t="inlineStr">
        <is>
          <t>A</t>
        </is>
      </c>
      <c r="S61" s="147" t="n"/>
    </row>
    <row r="62" ht="30" customHeight="1" s="76">
      <c r="A62" s="152" t="n"/>
      <c r="B62" s="144" t="inlineStr">
        <is>
          <t>HGC-Lib-26097340</t>
        </is>
      </c>
      <c r="C62" s="144" t="n">
        <v>61.08</v>
      </c>
      <c r="D62" s="145" t="n">
        <v>8</v>
      </c>
      <c r="E62" s="146">
        <f>ROUND(D62/SUM(D12:D84)*IF(C62="",50,50.0),3)</f>
        <v/>
      </c>
      <c r="F62" s="146">
        <f>ROUND(E62/C62*G85,3)</f>
        <v/>
      </c>
      <c r="G62" s="144" t="inlineStr">
        <is>
          <t>宏基因组</t>
        </is>
      </c>
      <c r="H62" s="144" t="inlineStr">
        <is>
          <t>广州奥智生物科技有限公司</t>
        </is>
      </c>
      <c r="I62" s="146" t="n"/>
      <c r="J62" s="144" t="n"/>
      <c r="K62" s="144" t="inlineStr">
        <is>
          <t>0727-1-2-宏_F11</t>
        </is>
      </c>
      <c r="L62" s="147" t="n"/>
      <c r="M62" s="147" t="n"/>
      <c r="N62" s="147" t="n">
        <v>61.08</v>
      </c>
      <c r="O62" s="147" t="inlineStr">
        <is>
          <t>Illumina Truseq文库</t>
        </is>
      </c>
      <c r="P62" s="147" t="inlineStr">
        <is>
          <t>未磷酸化</t>
        </is>
      </c>
      <c r="Q62" s="147" t="inlineStr">
        <is>
          <t>未环化</t>
        </is>
      </c>
      <c r="R62" s="147" t="inlineStr">
        <is>
          <t>A</t>
        </is>
      </c>
      <c r="S62" s="147" t="n"/>
    </row>
    <row r="63" ht="30" customHeight="1" s="76">
      <c r="A63" s="152" t="n"/>
      <c r="B63" s="144" t="inlineStr">
        <is>
          <t>HGC-Lib-26097341</t>
        </is>
      </c>
      <c r="C63" s="144" t="n">
        <v>67.06999999999999</v>
      </c>
      <c r="D63" s="145" t="n">
        <v>8</v>
      </c>
      <c r="E63" s="146">
        <f>ROUND(D63/SUM(D12:D84)*IF(C63="",50,50.0),3)</f>
        <v/>
      </c>
      <c r="F63" s="146">
        <f>ROUND(E63/C63*G85,3)</f>
        <v/>
      </c>
      <c r="G63" s="144" t="inlineStr">
        <is>
          <t>宏基因组</t>
        </is>
      </c>
      <c r="H63" s="144" t="inlineStr">
        <is>
          <t>广州奥智生物科技有限公司</t>
        </is>
      </c>
      <c r="I63" s="146" t="n"/>
      <c r="J63" s="144" t="n"/>
      <c r="K63" s="144" t="inlineStr">
        <is>
          <t>0727-1-2-宏_F12</t>
        </is>
      </c>
      <c r="L63" s="147" t="n"/>
      <c r="M63" s="147" t="n"/>
      <c r="N63" s="147" t="n">
        <v>67.06999999999999</v>
      </c>
      <c r="O63" s="147" t="inlineStr">
        <is>
          <t>Illumina Truseq文库</t>
        </is>
      </c>
      <c r="P63" s="147" t="inlineStr">
        <is>
          <t>未磷酸化</t>
        </is>
      </c>
      <c r="Q63" s="147" t="inlineStr">
        <is>
          <t>未环化</t>
        </is>
      </c>
      <c r="R63" s="147" t="inlineStr">
        <is>
          <t>A</t>
        </is>
      </c>
      <c r="S63" s="147" t="n"/>
    </row>
    <row r="64" ht="30" customHeight="1" s="76">
      <c r="A64" s="152" t="n"/>
      <c r="B64" s="144" t="inlineStr">
        <is>
          <t>HGC-Lib-26097342</t>
        </is>
      </c>
      <c r="C64" s="144" t="n">
        <v>51.47</v>
      </c>
      <c r="D64" s="145" t="n">
        <v>8</v>
      </c>
      <c r="E64" s="146">
        <f>ROUND(D64/SUM(D12:D84)*IF(C64="",50,50.0),3)</f>
        <v/>
      </c>
      <c r="F64" s="146">
        <f>ROUND(E64/C64*G85,3)</f>
        <v/>
      </c>
      <c r="G64" s="144" t="inlineStr">
        <is>
          <t>宏基因组</t>
        </is>
      </c>
      <c r="H64" s="144" t="inlineStr">
        <is>
          <t>广州奥智生物科技有限公司</t>
        </is>
      </c>
      <c r="I64" s="146" t="n"/>
      <c r="J64" s="144" t="n"/>
      <c r="K64" s="144" t="inlineStr">
        <is>
          <t>0727-1-2-宏_G1</t>
        </is>
      </c>
      <c r="L64" s="147" t="n"/>
      <c r="M64" s="147" t="n"/>
      <c r="N64" s="147" t="n">
        <v>51.47</v>
      </c>
      <c r="O64" s="147" t="inlineStr">
        <is>
          <t>Illumina Truseq文库</t>
        </is>
      </c>
      <c r="P64" s="147" t="inlineStr">
        <is>
          <t>未磷酸化</t>
        </is>
      </c>
      <c r="Q64" s="147" t="inlineStr">
        <is>
          <t>未环化</t>
        </is>
      </c>
      <c r="R64" s="147" t="inlineStr">
        <is>
          <t>A</t>
        </is>
      </c>
      <c r="S64" s="147" t="n"/>
    </row>
    <row r="65" ht="30" customHeight="1" s="76">
      <c r="A65" s="152" t="n"/>
      <c r="B65" s="144" t="inlineStr">
        <is>
          <t>HGC-Lib-26097343</t>
        </is>
      </c>
      <c r="C65" s="144" t="n">
        <v>38.19</v>
      </c>
      <c r="D65" s="145" t="n">
        <v>8</v>
      </c>
      <c r="E65" s="146">
        <f>ROUND(D65/SUM(D12:D84)*IF(C65="",50,50.0),3)</f>
        <v/>
      </c>
      <c r="F65" s="146">
        <f>ROUND(E65/C65*G85,3)</f>
        <v/>
      </c>
      <c r="G65" s="144" t="inlineStr">
        <is>
          <t>宏基因组</t>
        </is>
      </c>
      <c r="H65" s="144" t="inlineStr">
        <is>
          <t>广州奥智生物科技有限公司</t>
        </is>
      </c>
      <c r="I65" s="146" t="n"/>
      <c r="J65" s="144" t="n"/>
      <c r="K65" s="144" t="inlineStr">
        <is>
          <t>0727-1-2-宏_G2</t>
        </is>
      </c>
      <c r="L65" s="147" t="n"/>
      <c r="M65" s="147" t="n"/>
      <c r="N65" s="147" t="n">
        <v>38.19</v>
      </c>
      <c r="O65" s="147" t="inlineStr">
        <is>
          <t>Illumina Truseq文库</t>
        </is>
      </c>
      <c r="P65" s="147" t="inlineStr">
        <is>
          <t>未磷酸化</t>
        </is>
      </c>
      <c r="Q65" s="147" t="inlineStr">
        <is>
          <t>未环化</t>
        </is>
      </c>
      <c r="R65" s="147" t="inlineStr">
        <is>
          <t>A</t>
        </is>
      </c>
      <c r="S65" s="147" t="n"/>
    </row>
    <row r="66" ht="30" customHeight="1" s="76">
      <c r="A66" s="152" t="n"/>
      <c r="B66" s="144" t="inlineStr">
        <is>
          <t>HGC-Lib-26097344</t>
        </is>
      </c>
      <c r="C66" s="144" t="n">
        <v>33.78</v>
      </c>
      <c r="D66" s="145" t="n">
        <v>8</v>
      </c>
      <c r="E66" s="146">
        <f>ROUND(D66/SUM(D12:D84)*IF(C66="",50,50.0),3)</f>
        <v/>
      </c>
      <c r="F66" s="146">
        <f>ROUND(E66/C66*G85,3)</f>
        <v/>
      </c>
      <c r="G66" s="144" t="inlineStr">
        <is>
          <t>宏基因组</t>
        </is>
      </c>
      <c r="H66" s="144" t="inlineStr">
        <is>
          <t>广州奥智生物科技有限公司</t>
        </is>
      </c>
      <c r="I66" s="146" t="n"/>
      <c r="J66" s="144" t="n"/>
      <c r="K66" s="144" t="inlineStr">
        <is>
          <t>0727-1-2-宏_G3</t>
        </is>
      </c>
      <c r="L66" s="147" t="n"/>
      <c r="M66" s="147" t="n"/>
      <c r="N66" s="147" t="n">
        <v>33.78</v>
      </c>
      <c r="O66" s="147" t="inlineStr">
        <is>
          <t>Illumina Truseq文库</t>
        </is>
      </c>
      <c r="P66" s="147" t="inlineStr">
        <is>
          <t>未磷酸化</t>
        </is>
      </c>
      <c r="Q66" s="147" t="inlineStr">
        <is>
          <t>未环化</t>
        </is>
      </c>
      <c r="R66" s="147" t="inlineStr">
        <is>
          <t>A</t>
        </is>
      </c>
      <c r="S66" s="147" t="n"/>
    </row>
    <row r="67" ht="30" customHeight="1" s="76">
      <c r="A67" s="152" t="n"/>
      <c r="B67" s="144" t="inlineStr">
        <is>
          <t>HGC-Lib-26097345</t>
        </is>
      </c>
      <c r="C67" s="144" t="n">
        <v>45.8</v>
      </c>
      <c r="D67" s="145" t="n">
        <v>8</v>
      </c>
      <c r="E67" s="146">
        <f>ROUND(D67/SUM(D12:D84)*IF(C67="",50,50.0),3)</f>
        <v/>
      </c>
      <c r="F67" s="146">
        <f>ROUND(E67/C67*G85,3)</f>
        <v/>
      </c>
      <c r="G67" s="144" t="inlineStr">
        <is>
          <t>宏基因组</t>
        </is>
      </c>
      <c r="H67" s="144" t="inlineStr">
        <is>
          <t>广州奥智生物科技有限公司</t>
        </is>
      </c>
      <c r="I67" s="146" t="n"/>
      <c r="J67" s="144" t="n"/>
      <c r="K67" s="144" t="inlineStr">
        <is>
          <t>0727-1-2-宏_G4</t>
        </is>
      </c>
      <c r="L67" s="147" t="n"/>
      <c r="M67" s="147" t="n"/>
      <c r="N67" s="147" t="n">
        <v>45.8</v>
      </c>
      <c r="O67" s="147" t="inlineStr">
        <is>
          <t>Illumina Truseq文库</t>
        </is>
      </c>
      <c r="P67" s="147" t="inlineStr">
        <is>
          <t>未磷酸化</t>
        </is>
      </c>
      <c r="Q67" s="147" t="inlineStr">
        <is>
          <t>未环化</t>
        </is>
      </c>
      <c r="R67" s="147" t="inlineStr">
        <is>
          <t>A</t>
        </is>
      </c>
      <c r="S67" s="147" t="n"/>
    </row>
    <row r="68" ht="30" customHeight="1" s="76">
      <c r="A68" s="152" t="n"/>
      <c r="B68" s="144" t="inlineStr">
        <is>
          <t>HGC-Lib-26097346</t>
        </is>
      </c>
      <c r="C68" s="144" t="n">
        <v>53.45</v>
      </c>
      <c r="D68" s="145" t="n">
        <v>8</v>
      </c>
      <c r="E68" s="146">
        <f>ROUND(D68/SUM(D12:D84)*IF(C68="",50,50.0),3)</f>
        <v/>
      </c>
      <c r="F68" s="146">
        <f>ROUND(E68/C68*G85,3)</f>
        <v/>
      </c>
      <c r="G68" s="144" t="inlineStr">
        <is>
          <t>宏基因组</t>
        </is>
      </c>
      <c r="H68" s="144" t="inlineStr">
        <is>
          <t>广州奥智生物科技有限公司</t>
        </is>
      </c>
      <c r="I68" s="146" t="n"/>
      <c r="J68" s="144" t="n"/>
      <c r="K68" s="144" t="inlineStr">
        <is>
          <t>0727-1-2-宏_G5</t>
        </is>
      </c>
      <c r="L68" s="147" t="n"/>
      <c r="M68" s="147" t="n"/>
      <c r="N68" s="147" t="n">
        <v>53.45</v>
      </c>
      <c r="O68" s="147" t="inlineStr">
        <is>
          <t>Illumina Truseq文库</t>
        </is>
      </c>
      <c r="P68" s="147" t="inlineStr">
        <is>
          <t>未磷酸化</t>
        </is>
      </c>
      <c r="Q68" s="147" t="inlineStr">
        <is>
          <t>未环化</t>
        </is>
      </c>
      <c r="R68" s="147" t="inlineStr">
        <is>
          <t>A</t>
        </is>
      </c>
      <c r="S68" s="147" t="n"/>
    </row>
    <row r="69" ht="30" customHeight="1" s="76">
      <c r="A69" s="152" t="n"/>
      <c r="B69" s="144" t="inlineStr">
        <is>
          <t>HGC-Lib-26097347</t>
        </is>
      </c>
      <c r="C69" s="144" t="n">
        <v>51.11</v>
      </c>
      <c r="D69" s="145" t="n">
        <v>8</v>
      </c>
      <c r="E69" s="146">
        <f>ROUND(D69/SUM(D12:D84)*IF(C69="",50,50.0),3)</f>
        <v/>
      </c>
      <c r="F69" s="146">
        <f>ROUND(E69/C69*G85,3)</f>
        <v/>
      </c>
      <c r="G69" s="144" t="inlineStr">
        <is>
          <t>宏基因组</t>
        </is>
      </c>
      <c r="H69" s="144" t="inlineStr">
        <is>
          <t>广州奥智生物科技有限公司</t>
        </is>
      </c>
      <c r="I69" s="146" t="n"/>
      <c r="J69" s="144" t="n"/>
      <c r="K69" s="144" t="inlineStr">
        <is>
          <t>0727-1-2-宏_G6</t>
        </is>
      </c>
      <c r="L69" s="147" t="n"/>
      <c r="M69" s="147" t="n"/>
      <c r="N69" s="147" t="n">
        <v>51.11</v>
      </c>
      <c r="O69" s="147" t="inlineStr">
        <is>
          <t>Illumina Truseq文库</t>
        </is>
      </c>
      <c r="P69" s="147" t="inlineStr">
        <is>
          <t>未磷酸化</t>
        </is>
      </c>
      <c r="Q69" s="147" t="inlineStr">
        <is>
          <t>未环化</t>
        </is>
      </c>
      <c r="R69" s="147" t="inlineStr">
        <is>
          <t>A</t>
        </is>
      </c>
      <c r="S69" s="147" t="n"/>
    </row>
    <row r="70" ht="30" customHeight="1" s="76">
      <c r="A70" s="152" t="n"/>
      <c r="B70" s="144" t="inlineStr">
        <is>
          <t>HGC-Lib-26097348</t>
        </is>
      </c>
      <c r="C70" s="144" t="n">
        <v>39</v>
      </c>
      <c r="D70" s="145" t="n">
        <v>8</v>
      </c>
      <c r="E70" s="146">
        <f>ROUND(D70/SUM(D12:D84)*IF(C70="",50,50.0),3)</f>
        <v/>
      </c>
      <c r="F70" s="146">
        <f>ROUND(E70/C70*G85,3)</f>
        <v/>
      </c>
      <c r="G70" s="144" t="inlineStr">
        <is>
          <t>宏基因组</t>
        </is>
      </c>
      <c r="H70" s="144" t="inlineStr">
        <is>
          <t>广州奥智生物科技有限公司</t>
        </is>
      </c>
      <c r="I70" s="146" t="n"/>
      <c r="J70" s="144" t="n"/>
      <c r="K70" s="144" t="inlineStr">
        <is>
          <t>0727-1-2-宏_G7</t>
        </is>
      </c>
      <c r="L70" s="147" t="n"/>
      <c r="M70" s="147" t="n"/>
      <c r="N70" s="147" t="n">
        <v>39</v>
      </c>
      <c r="O70" s="147" t="inlineStr">
        <is>
          <t>Illumina Truseq文库</t>
        </is>
      </c>
      <c r="P70" s="147" t="inlineStr">
        <is>
          <t>未磷酸化</t>
        </is>
      </c>
      <c r="Q70" s="147" t="inlineStr">
        <is>
          <t>未环化</t>
        </is>
      </c>
      <c r="R70" s="147" t="inlineStr">
        <is>
          <t>A</t>
        </is>
      </c>
      <c r="S70" s="147" t="n"/>
    </row>
    <row r="71" ht="30" customHeight="1" s="76">
      <c r="A71" s="152" t="n"/>
      <c r="B71" s="144" t="inlineStr">
        <is>
          <t>HGC-Lib-26097349</t>
        </is>
      </c>
      <c r="C71" s="144" t="n">
        <v>21.97</v>
      </c>
      <c r="D71" s="145" t="n">
        <v>8</v>
      </c>
      <c r="E71" s="146">
        <f>ROUND(D71/SUM(D12:D84)*IF(C71="",50,50.0),3)</f>
        <v/>
      </c>
      <c r="F71" s="146">
        <f>ROUND(E71/C71*G85,3)</f>
        <v/>
      </c>
      <c r="G71" s="144" t="inlineStr">
        <is>
          <t>宏基因组</t>
        </is>
      </c>
      <c r="H71" s="144" t="inlineStr">
        <is>
          <t>广州奥智生物科技有限公司</t>
        </is>
      </c>
      <c r="I71" s="146" t="n"/>
      <c r="J71" s="144" t="n"/>
      <c r="K71" s="144" t="inlineStr">
        <is>
          <t>0727-1-2-宏_G8</t>
        </is>
      </c>
      <c r="L71" s="147" t="n"/>
      <c r="M71" s="147" t="n"/>
      <c r="N71" s="147" t="n">
        <v>21.97</v>
      </c>
      <c r="O71" s="147" t="inlineStr">
        <is>
          <t>Illumina Truseq文库</t>
        </is>
      </c>
      <c r="P71" s="147" t="inlineStr">
        <is>
          <t>未磷酸化</t>
        </is>
      </c>
      <c r="Q71" s="147" t="inlineStr">
        <is>
          <t>未环化</t>
        </is>
      </c>
      <c r="R71" s="147" t="inlineStr">
        <is>
          <t>A</t>
        </is>
      </c>
      <c r="S71" s="147" t="n"/>
    </row>
    <row r="72" ht="30" customHeight="1" s="76">
      <c r="A72" s="152" t="n"/>
      <c r="B72" s="144" t="inlineStr">
        <is>
          <t>HGC-Lib-26097350</t>
        </is>
      </c>
      <c r="C72" s="144" t="n">
        <v>23.57</v>
      </c>
      <c r="D72" s="145" t="n">
        <v>8</v>
      </c>
      <c r="E72" s="146">
        <f>ROUND(D72/SUM(D12:D84)*IF(C72="",50,50.0),3)</f>
        <v/>
      </c>
      <c r="F72" s="146">
        <f>ROUND(E72/C72*G85,3)</f>
        <v/>
      </c>
      <c r="G72" s="144" t="inlineStr">
        <is>
          <t>宏基因组</t>
        </is>
      </c>
      <c r="H72" s="144" t="inlineStr">
        <is>
          <t>广州奥智生物科技有限公司</t>
        </is>
      </c>
      <c r="I72" s="146" t="n"/>
      <c r="J72" s="144" t="n"/>
      <c r="K72" s="144" t="inlineStr">
        <is>
          <t>0727-1-2-宏_G9</t>
        </is>
      </c>
      <c r="L72" s="147" t="n"/>
      <c r="M72" s="147" t="n"/>
      <c r="N72" s="147" t="n">
        <v>23.57</v>
      </c>
      <c r="O72" s="147" t="inlineStr">
        <is>
          <t>Illumina Truseq文库</t>
        </is>
      </c>
      <c r="P72" s="147" t="inlineStr">
        <is>
          <t>未磷酸化</t>
        </is>
      </c>
      <c r="Q72" s="147" t="inlineStr">
        <is>
          <t>未环化</t>
        </is>
      </c>
      <c r="R72" s="147" t="inlineStr">
        <is>
          <t>A</t>
        </is>
      </c>
      <c r="S72" s="147" t="n"/>
    </row>
    <row r="73" ht="30" customHeight="1" s="76">
      <c r="A73" s="152" t="n"/>
      <c r="B73" s="144" t="inlineStr">
        <is>
          <t>HGC-Lib-26097351</t>
        </is>
      </c>
      <c r="C73" s="144" t="n">
        <v>29.51</v>
      </c>
      <c r="D73" s="145" t="n">
        <v>8</v>
      </c>
      <c r="E73" s="146">
        <f>ROUND(D73/SUM(D12:D84)*IF(C73="",50,50.0),3)</f>
        <v/>
      </c>
      <c r="F73" s="146">
        <f>ROUND(E73/C73*G85,3)</f>
        <v/>
      </c>
      <c r="G73" s="144" t="inlineStr">
        <is>
          <t>宏基因组</t>
        </is>
      </c>
      <c r="H73" s="144" t="inlineStr">
        <is>
          <t>广州奥智生物科技有限公司</t>
        </is>
      </c>
      <c r="I73" s="146" t="n"/>
      <c r="J73" s="144" t="n"/>
      <c r="K73" s="144" t="inlineStr">
        <is>
          <t>0727-1-2-宏_G10</t>
        </is>
      </c>
      <c r="L73" s="147" t="n"/>
      <c r="M73" s="147" t="n"/>
      <c r="N73" s="147" t="n">
        <v>29.51</v>
      </c>
      <c r="O73" s="147" t="inlineStr">
        <is>
          <t>Illumina Truseq文库</t>
        </is>
      </c>
      <c r="P73" s="147" t="inlineStr">
        <is>
          <t>未磷酸化</t>
        </is>
      </c>
      <c r="Q73" s="147" t="inlineStr">
        <is>
          <t>未环化</t>
        </is>
      </c>
      <c r="R73" s="147" t="inlineStr">
        <is>
          <t>A</t>
        </is>
      </c>
      <c r="S73" s="147" t="n"/>
    </row>
    <row r="74" ht="30" customHeight="1" s="76">
      <c r="A74" s="152" t="n"/>
      <c r="B74" s="144" t="inlineStr">
        <is>
          <t>HGC-Lib-26097352</t>
        </is>
      </c>
      <c r="C74" s="144" t="n">
        <v>53.89</v>
      </c>
      <c r="D74" s="145" t="n">
        <v>8</v>
      </c>
      <c r="E74" s="146">
        <f>ROUND(D74/SUM(D12:D84)*IF(C74="",50,50.0),3)</f>
        <v/>
      </c>
      <c r="F74" s="146">
        <f>ROUND(E74/C74*G85,3)</f>
        <v/>
      </c>
      <c r="G74" s="144" t="inlineStr">
        <is>
          <t>宏基因组</t>
        </is>
      </c>
      <c r="H74" s="144" t="inlineStr">
        <is>
          <t>广州奥智生物科技有限公司</t>
        </is>
      </c>
      <c r="I74" s="146" t="n"/>
      <c r="J74" s="144" t="n"/>
      <c r="K74" s="144" t="inlineStr">
        <is>
          <t>0727-1-2-宏_G11</t>
        </is>
      </c>
      <c r="L74" s="147" t="n"/>
      <c r="M74" s="147" t="n"/>
      <c r="N74" s="147" t="n">
        <v>53.89</v>
      </c>
      <c r="O74" s="147" t="inlineStr">
        <is>
          <t>Illumina Truseq文库</t>
        </is>
      </c>
      <c r="P74" s="147" t="inlineStr">
        <is>
          <t>未磷酸化</t>
        </is>
      </c>
      <c r="Q74" s="147" t="inlineStr">
        <is>
          <t>未环化</t>
        </is>
      </c>
      <c r="R74" s="147" t="inlineStr">
        <is>
          <t>A</t>
        </is>
      </c>
      <c r="S74" s="147" t="n"/>
    </row>
    <row r="75" ht="30" customHeight="1" s="76">
      <c r="A75" s="152" t="n"/>
      <c r="B75" s="144" t="inlineStr">
        <is>
          <t>HGC-Lib-26097353</t>
        </is>
      </c>
      <c r="C75" s="144" t="n">
        <v>50.79</v>
      </c>
      <c r="D75" s="145" t="n">
        <v>8</v>
      </c>
      <c r="E75" s="146">
        <f>ROUND(D75/SUM(D12:D84)*IF(C75="",50,50.0),3)</f>
        <v/>
      </c>
      <c r="F75" s="146">
        <f>ROUND(E75/C75*G85,3)</f>
        <v/>
      </c>
      <c r="G75" s="144" t="inlineStr">
        <is>
          <t>宏基因组</t>
        </is>
      </c>
      <c r="H75" s="144" t="inlineStr">
        <is>
          <t>广州奥智生物科技有限公司</t>
        </is>
      </c>
      <c r="I75" s="146" t="n"/>
      <c r="J75" s="144" t="n"/>
      <c r="K75" s="144" t="inlineStr">
        <is>
          <t>0727-1-2-宏_G12</t>
        </is>
      </c>
      <c r="L75" s="147" t="n"/>
      <c r="M75" s="147" t="n"/>
      <c r="N75" s="147" t="n">
        <v>50.79</v>
      </c>
      <c r="O75" s="147" t="inlineStr">
        <is>
          <t>Illumina Truseq文库</t>
        </is>
      </c>
      <c r="P75" s="147" t="inlineStr">
        <is>
          <t>未磷酸化</t>
        </is>
      </c>
      <c r="Q75" s="147" t="inlineStr">
        <is>
          <t>未环化</t>
        </is>
      </c>
      <c r="R75" s="147" t="inlineStr">
        <is>
          <t>A</t>
        </is>
      </c>
      <c r="S75" s="147" t="n"/>
    </row>
    <row r="76" ht="30" customHeight="1" s="76">
      <c r="A76" s="152" t="n"/>
      <c r="B76" s="144" t="inlineStr">
        <is>
          <t>HGC-Lib-26097354</t>
        </is>
      </c>
      <c r="C76" s="144" t="n">
        <v>66.7</v>
      </c>
      <c r="D76" s="145" t="n">
        <v>8</v>
      </c>
      <c r="E76" s="146">
        <f>ROUND(D76/SUM(D12:D84)*IF(C76="",50,50.0),3)</f>
        <v/>
      </c>
      <c r="F76" s="146">
        <f>ROUND(E76/C76*G85,3)</f>
        <v/>
      </c>
      <c r="G76" s="144" t="inlineStr">
        <is>
          <t>宏基因组</t>
        </is>
      </c>
      <c r="H76" s="144" t="inlineStr">
        <is>
          <t>广州奥智生物科技有限公司</t>
        </is>
      </c>
      <c r="I76" s="146" t="n"/>
      <c r="J76" s="144" t="n"/>
      <c r="K76" s="144" t="inlineStr">
        <is>
          <t>0727-1-2-宏_H1</t>
        </is>
      </c>
      <c r="L76" s="147" t="n"/>
      <c r="M76" s="147" t="n"/>
      <c r="N76" s="147" t="n">
        <v>66.7</v>
      </c>
      <c r="O76" s="147" t="inlineStr">
        <is>
          <t>Illumina Truseq文库</t>
        </is>
      </c>
      <c r="P76" s="147" t="inlineStr">
        <is>
          <t>未磷酸化</t>
        </is>
      </c>
      <c r="Q76" s="147" t="inlineStr">
        <is>
          <t>未环化</t>
        </is>
      </c>
      <c r="R76" s="147" t="inlineStr">
        <is>
          <t>A</t>
        </is>
      </c>
      <c r="S76" s="147" t="n"/>
    </row>
    <row r="77" ht="30" customHeight="1" s="76">
      <c r="A77" s="152" t="n"/>
      <c r="B77" s="144" t="inlineStr">
        <is>
          <t>HGC-Lib-26097355</t>
        </is>
      </c>
      <c r="C77" s="144" t="n">
        <v>40.05</v>
      </c>
      <c r="D77" s="145" t="n">
        <v>8</v>
      </c>
      <c r="E77" s="146">
        <f>ROUND(D77/SUM(D12:D84)*IF(C77="",50,50.0),3)</f>
        <v/>
      </c>
      <c r="F77" s="146">
        <f>ROUND(E77/C77*G85,3)</f>
        <v/>
      </c>
      <c r="G77" s="144" t="inlineStr">
        <is>
          <t>宏基因组</t>
        </is>
      </c>
      <c r="H77" s="144" t="inlineStr">
        <is>
          <t>广州奥智生物科技有限公司</t>
        </is>
      </c>
      <c r="I77" s="146" t="n"/>
      <c r="J77" s="144" t="n"/>
      <c r="K77" s="144" t="inlineStr">
        <is>
          <t>0727-1-2-宏_H2</t>
        </is>
      </c>
      <c r="L77" s="147" t="n"/>
      <c r="M77" s="147" t="n"/>
      <c r="N77" s="147" t="n">
        <v>40.05</v>
      </c>
      <c r="O77" s="147" t="inlineStr">
        <is>
          <t>Illumina Truseq文库</t>
        </is>
      </c>
      <c r="P77" s="147" t="inlineStr">
        <is>
          <t>未磷酸化</t>
        </is>
      </c>
      <c r="Q77" s="147" t="inlineStr">
        <is>
          <t>未环化</t>
        </is>
      </c>
      <c r="R77" s="147" t="inlineStr">
        <is>
          <t>A</t>
        </is>
      </c>
      <c r="S77" s="147" t="n"/>
    </row>
    <row r="78" ht="30" customHeight="1" s="76">
      <c r="A78" s="152" t="n"/>
      <c r="B78" s="144" t="inlineStr">
        <is>
          <t>HGC-Lib-26097356</t>
        </is>
      </c>
      <c r="C78" s="144" t="n">
        <v>47.03</v>
      </c>
      <c r="D78" s="145" t="n">
        <v>8</v>
      </c>
      <c r="E78" s="146">
        <f>ROUND(D78/SUM(D12:D84)*IF(C78="",50,50.0),3)</f>
        <v/>
      </c>
      <c r="F78" s="146">
        <f>ROUND(E78/C78*G85,3)</f>
        <v/>
      </c>
      <c r="G78" s="144" t="inlineStr">
        <is>
          <t>宏基因组</t>
        </is>
      </c>
      <c r="H78" s="144" t="inlineStr">
        <is>
          <t>广州奥智生物科技有限公司</t>
        </is>
      </c>
      <c r="I78" s="146" t="n"/>
      <c r="J78" s="144" t="n"/>
      <c r="K78" s="144" t="inlineStr">
        <is>
          <t>0727-1-2-宏_H3</t>
        </is>
      </c>
      <c r="L78" s="147" t="n"/>
      <c r="M78" s="147" t="n"/>
      <c r="N78" s="147" t="n">
        <v>47.03</v>
      </c>
      <c r="O78" s="147" t="inlineStr">
        <is>
          <t>Illumina Truseq文库</t>
        </is>
      </c>
      <c r="P78" s="147" t="inlineStr">
        <is>
          <t>未磷酸化</t>
        </is>
      </c>
      <c r="Q78" s="147" t="inlineStr">
        <is>
          <t>未环化</t>
        </is>
      </c>
      <c r="R78" s="147" t="inlineStr">
        <is>
          <t>A</t>
        </is>
      </c>
      <c r="S78" s="147" t="n"/>
    </row>
    <row r="79" ht="30" customHeight="1" s="76">
      <c r="A79" s="152" t="n"/>
      <c r="B79" s="144" t="inlineStr">
        <is>
          <t>HGC-Lib-26097357</t>
        </is>
      </c>
      <c r="C79" s="144" t="n">
        <v>38.67</v>
      </c>
      <c r="D79" s="145" t="n">
        <v>8</v>
      </c>
      <c r="E79" s="146">
        <f>ROUND(D79/SUM(D12:D84)*IF(C79="",50,50.0),3)</f>
        <v/>
      </c>
      <c r="F79" s="146">
        <f>ROUND(E79/C79*G85,3)</f>
        <v/>
      </c>
      <c r="G79" s="144" t="inlineStr">
        <is>
          <t>宏基因组</t>
        </is>
      </c>
      <c r="H79" s="144" t="inlineStr">
        <is>
          <t>广州奥智生物科技有限公司</t>
        </is>
      </c>
      <c r="I79" s="146" t="n"/>
      <c r="J79" s="144" t="n"/>
      <c r="K79" s="144" t="inlineStr">
        <is>
          <t>0727-1-2-宏_H4</t>
        </is>
      </c>
      <c r="L79" s="147" t="n"/>
      <c r="M79" s="147" t="n"/>
      <c r="N79" s="147" t="n">
        <v>38.67</v>
      </c>
      <c r="O79" s="147" t="inlineStr">
        <is>
          <t>Illumina Truseq文库</t>
        </is>
      </c>
      <c r="P79" s="147" t="inlineStr">
        <is>
          <t>未磷酸化</t>
        </is>
      </c>
      <c r="Q79" s="147" t="inlineStr">
        <is>
          <t>未环化</t>
        </is>
      </c>
      <c r="R79" s="147" t="inlineStr">
        <is>
          <t>A</t>
        </is>
      </c>
      <c r="S79" s="147" t="n"/>
    </row>
    <row r="80" ht="30" customHeight="1" s="76">
      <c r="A80" s="152" t="n"/>
      <c r="B80" s="144" t="inlineStr">
        <is>
          <t>HGC-Lib-26097358</t>
        </is>
      </c>
      <c r="C80" s="144" t="n">
        <v>62.02</v>
      </c>
      <c r="D80" s="145" t="n">
        <v>8</v>
      </c>
      <c r="E80" s="146">
        <f>ROUND(D80/SUM(D12:D84)*IF(C80="",50,50.0),3)</f>
        <v/>
      </c>
      <c r="F80" s="146">
        <f>ROUND(E80/C80*G85,3)</f>
        <v/>
      </c>
      <c r="G80" s="144" t="inlineStr">
        <is>
          <t>宏基因组</t>
        </is>
      </c>
      <c r="H80" s="144" t="inlineStr">
        <is>
          <t>广州奥智生物科技有限公司</t>
        </is>
      </c>
      <c r="I80" s="146" t="n"/>
      <c r="J80" s="144" t="n"/>
      <c r="K80" s="144" t="inlineStr">
        <is>
          <t>0727-1-2-宏_H5</t>
        </is>
      </c>
      <c r="L80" s="147" t="n"/>
      <c r="M80" s="147" t="n"/>
      <c r="N80" s="147" t="n">
        <v>62.02</v>
      </c>
      <c r="O80" s="147" t="inlineStr">
        <is>
          <t>Illumina Truseq文库</t>
        </is>
      </c>
      <c r="P80" s="147" t="inlineStr">
        <is>
          <t>未磷酸化</t>
        </is>
      </c>
      <c r="Q80" s="147" t="inlineStr">
        <is>
          <t>未环化</t>
        </is>
      </c>
      <c r="R80" s="147" t="inlineStr">
        <is>
          <t>A</t>
        </is>
      </c>
      <c r="S80" s="147" t="n"/>
    </row>
    <row r="81" ht="30" customHeight="1" s="76">
      <c r="A81" s="152" t="n"/>
      <c r="B81" s="144" t="inlineStr">
        <is>
          <t>HGC-Lib-26097359</t>
        </is>
      </c>
      <c r="C81" s="144" t="n">
        <v>25.41</v>
      </c>
      <c r="D81" s="145" t="n">
        <v>8</v>
      </c>
      <c r="E81" s="146">
        <f>ROUND(D81/SUM(D12:D84)*IF(C81="",50,50.0),3)</f>
        <v/>
      </c>
      <c r="F81" s="146">
        <f>ROUND(E81/C81*G85,3)</f>
        <v/>
      </c>
      <c r="G81" s="144" t="inlineStr">
        <is>
          <t>宏基因组</t>
        </is>
      </c>
      <c r="H81" s="144" t="inlineStr">
        <is>
          <t>广州奥智生物科技有限公司</t>
        </is>
      </c>
      <c r="I81" s="146" t="n"/>
      <c r="J81" s="144" t="n"/>
      <c r="K81" s="144" t="inlineStr">
        <is>
          <t>0727-1-2-宏_H6</t>
        </is>
      </c>
      <c r="L81" s="147" t="n"/>
      <c r="M81" s="147" t="n"/>
      <c r="N81" s="147" t="n">
        <v>25.41</v>
      </c>
      <c r="O81" s="147" t="inlineStr">
        <is>
          <t>Illumina Truseq文库</t>
        </is>
      </c>
      <c r="P81" s="147" t="inlineStr">
        <is>
          <t>未磷酸化</t>
        </is>
      </c>
      <c r="Q81" s="147" t="inlineStr">
        <is>
          <t>未环化</t>
        </is>
      </c>
      <c r="R81" s="147" t="inlineStr">
        <is>
          <t>A</t>
        </is>
      </c>
      <c r="S81" s="147" t="n"/>
    </row>
    <row r="82" ht="30" customHeight="1" s="76">
      <c r="A82" s="152" t="n"/>
      <c r="B82" s="144" t="inlineStr">
        <is>
          <t>HGC-Lib-26097360</t>
        </is>
      </c>
      <c r="C82" s="144" t="n">
        <v>47.99</v>
      </c>
      <c r="D82" s="145" t="n">
        <v>8</v>
      </c>
      <c r="E82" s="146">
        <f>ROUND(D82/SUM(D12:D84)*IF(C82="",50,50.0),3)</f>
        <v/>
      </c>
      <c r="F82" s="146">
        <f>ROUND(E82/C82*G85,3)</f>
        <v/>
      </c>
      <c r="G82" s="144" t="inlineStr">
        <is>
          <t>宏基因组</t>
        </is>
      </c>
      <c r="H82" s="144" t="inlineStr">
        <is>
          <t>广州奥智生物科技有限公司</t>
        </is>
      </c>
      <c r="I82" s="146" t="n"/>
      <c r="J82" s="144" t="n"/>
      <c r="K82" s="144" t="inlineStr">
        <is>
          <t>0727-1-2-宏_H7</t>
        </is>
      </c>
      <c r="L82" s="147" t="n"/>
      <c r="M82" s="147" t="n"/>
      <c r="N82" s="147" t="n">
        <v>47.99</v>
      </c>
      <c r="O82" s="147" t="inlineStr">
        <is>
          <t>Illumina Truseq文库</t>
        </is>
      </c>
      <c r="P82" s="147" t="inlineStr">
        <is>
          <t>未磷酸化</t>
        </is>
      </c>
      <c r="Q82" s="147" t="inlineStr">
        <is>
          <t>未环化</t>
        </is>
      </c>
      <c r="R82" s="147" t="inlineStr">
        <is>
          <t>A</t>
        </is>
      </c>
      <c r="S82" s="147" t="n"/>
    </row>
    <row r="83" ht="30" customHeight="1" s="76">
      <c r="A83" s="152" t="n"/>
      <c r="B83" s="144" t="inlineStr">
        <is>
          <t>HGC-Lib-26097361</t>
        </is>
      </c>
      <c r="C83" s="144" t="n">
        <v>60.58</v>
      </c>
      <c r="D83" s="145" t="n">
        <v>8</v>
      </c>
      <c r="E83" s="146">
        <f>ROUND(D83/SUM(D12:D84)*IF(C83="",50,50.0),3)</f>
        <v/>
      </c>
      <c r="F83" s="146">
        <f>ROUND(E83/C83*G85,3)</f>
        <v/>
      </c>
      <c r="G83" s="144" t="inlineStr">
        <is>
          <t>宏基因组</t>
        </is>
      </c>
      <c r="H83" s="144" t="inlineStr">
        <is>
          <t>广州奥智生物科技有限公司</t>
        </is>
      </c>
      <c r="I83" s="146" t="n"/>
      <c r="J83" s="144" t="n"/>
      <c r="K83" s="144" t="inlineStr">
        <is>
          <t>0727-1-2-宏_H8</t>
        </is>
      </c>
      <c r="L83" s="147" t="n"/>
      <c r="M83" s="147" t="n"/>
      <c r="N83" s="147" t="n">
        <v>60.58</v>
      </c>
      <c r="O83" s="147" t="inlineStr">
        <is>
          <t>Illumina Truseq文库</t>
        </is>
      </c>
      <c r="P83" s="147" t="inlineStr">
        <is>
          <t>未磷酸化</t>
        </is>
      </c>
      <c r="Q83" s="147" t="inlineStr">
        <is>
          <t>未环化</t>
        </is>
      </c>
      <c r="R83" s="147" t="inlineStr">
        <is>
          <t>A</t>
        </is>
      </c>
      <c r="S83" s="147" t="n"/>
    </row>
    <row r="84" ht="30" customHeight="1" s="76">
      <c r="A84" s="153" t="n"/>
      <c r="B84" s="144" t="inlineStr">
        <is>
          <t>HGC-Lib-26097362</t>
        </is>
      </c>
      <c r="C84" s="144" t="n">
        <v>49.07</v>
      </c>
      <c r="D84" s="145" t="n">
        <v>8</v>
      </c>
      <c r="E84" s="146">
        <f>ROUND(D84/SUM(D12:D84)*IF(C84="",50,50.0),3)</f>
        <v/>
      </c>
      <c r="F84" s="146">
        <f>ROUND(E84/C84*G85,3)</f>
        <v/>
      </c>
      <c r="G84" s="144" t="inlineStr">
        <is>
          <t>宏基因组</t>
        </is>
      </c>
      <c r="H84" s="144" t="inlineStr">
        <is>
          <t>广州奥智生物科技有限公司</t>
        </is>
      </c>
      <c r="I84" s="146" t="n"/>
      <c r="J84" s="144" t="n"/>
      <c r="K84" s="144" t="inlineStr">
        <is>
          <t>0727-1-2-宏_H9</t>
        </is>
      </c>
      <c r="L84" s="147" t="n"/>
      <c r="M84" s="147" t="n"/>
      <c r="N84" s="147" t="n">
        <v>49.07</v>
      </c>
      <c r="O84" s="147" t="inlineStr">
        <is>
          <t>Illumina Truseq文库</t>
        </is>
      </c>
      <c r="P84" s="147" t="inlineStr">
        <is>
          <t>未磷酸化</t>
        </is>
      </c>
      <c r="Q84" s="147" t="inlineStr">
        <is>
          <t>未环化</t>
        </is>
      </c>
      <c r="R84" s="147" t="inlineStr">
        <is>
          <t>A</t>
        </is>
      </c>
      <c r="S84" s="147" t="n"/>
    </row>
    <row r="85" ht="30" customHeight="1" s="76">
      <c r="A85" s="148" t="n"/>
      <c r="B85" s="147" t="n">
        <v>73</v>
      </c>
      <c r="C85" s="148" t="n"/>
      <c r="D85" s="149">
        <f>ROUND(SUM(D12:D84),2)</f>
        <v/>
      </c>
      <c r="E85" s="150">
        <f>ROUND(SUM(E12:E84),3)</f>
        <v/>
      </c>
      <c r="F85" s="150">
        <f>IF(G85&gt;1,ROUND(SUM(F12:F84)/G85*2,3),ROUND(SUM(F12:F84),3))</f>
        <v/>
      </c>
      <c r="G85" s="147" t="n">
        <v>112</v>
      </c>
      <c r="H85" s="148" t="n"/>
      <c r="I85" s="151">
        <f>ROUND(20-F85,3)</f>
        <v/>
      </c>
      <c r="J85" s="148" t="n"/>
      <c r="K85" s="148" t="n"/>
      <c r="L85" s="148" t="n"/>
      <c r="M85" s="147">
        <f>AVERAGE(M12:M84)</f>
        <v/>
      </c>
      <c r="N85" s="148" t="n"/>
      <c r="O85" s="148" t="n"/>
      <c r="P85" s="148" t="n"/>
      <c r="Q85" s="148" t="n"/>
      <c r="R85" s="148" t="n"/>
      <c r="S85" s="148" t="n"/>
    </row>
    <row r="86" ht="30" customHeight="1" s="76">
      <c r="A86" s="144" t="inlineStr">
        <is>
          <t>B5</t>
        </is>
      </c>
      <c r="B86" s="144" t="inlineStr">
        <is>
          <t>HGC-Lib-26097265</t>
        </is>
      </c>
      <c r="C86" s="144" t="n">
        <v>67.5</v>
      </c>
      <c r="D86" s="145" t="n">
        <v>5</v>
      </c>
      <c r="E86" s="146">
        <f>ROUND(D86/SUM(D86:D94)*IF(C86="",50,50.0),3)</f>
        <v/>
      </c>
      <c r="F86" s="146">
        <f>ROUND(E86/C86*G95,3)</f>
        <v/>
      </c>
      <c r="G86" s="144" t="inlineStr">
        <is>
          <t>无参转录组（RNA-seq）</t>
        </is>
      </c>
      <c r="H86" s="144" t="inlineStr">
        <is>
          <t>广州奥智生物科技有限公司</t>
        </is>
      </c>
      <c r="I86" s="146" t="n"/>
      <c r="J86" s="144" t="n"/>
      <c r="K86" s="144" t="inlineStr">
        <is>
          <t>26.7.28-3_F12</t>
        </is>
      </c>
      <c r="L86" s="147" t="n"/>
      <c r="M86" s="147" t="n"/>
      <c r="N86" s="147" t="n">
        <v>67.5</v>
      </c>
      <c r="O86" s="147" t="inlineStr">
        <is>
          <t>Illumina Truseq文库</t>
        </is>
      </c>
      <c r="P86" s="147" t="inlineStr">
        <is>
          <t>未磷酸化</t>
        </is>
      </c>
      <c r="Q86" s="147" t="inlineStr">
        <is>
          <t>未环化</t>
        </is>
      </c>
      <c r="R86" s="147" t="inlineStr">
        <is>
          <t>A</t>
        </is>
      </c>
      <c r="S86" s="147" t="n"/>
    </row>
    <row r="87" ht="30" customHeight="1" s="76">
      <c r="A87" s="152" t="n"/>
      <c r="B87" s="144" t="inlineStr">
        <is>
          <t>HGC-Lib-26097266</t>
        </is>
      </c>
      <c r="C87" s="144" t="n">
        <v>65.871</v>
      </c>
      <c r="D87" s="145" t="n">
        <v>5</v>
      </c>
      <c r="E87" s="146">
        <f>ROUND(D87/SUM(D86:D94)*IF(C87="",50,50.0),3)</f>
        <v/>
      </c>
      <c r="F87" s="146">
        <f>ROUND(E87/C87*G95,3)</f>
        <v/>
      </c>
      <c r="G87" s="144" t="inlineStr">
        <is>
          <t>无参转录组（RNA-seq）</t>
        </is>
      </c>
      <c r="H87" s="144" t="inlineStr">
        <is>
          <t>广州奥智生物科技有限公司</t>
        </is>
      </c>
      <c r="I87" s="146" t="n"/>
      <c r="J87" s="144" t="n"/>
      <c r="K87" s="144" t="inlineStr">
        <is>
          <t>26.7.28-3_G1</t>
        </is>
      </c>
      <c r="L87" s="147" t="n"/>
      <c r="M87" s="147" t="n"/>
      <c r="N87" s="147" t="n">
        <v>65.871</v>
      </c>
      <c r="O87" s="147" t="inlineStr">
        <is>
          <t>Illumina Truseq文库</t>
        </is>
      </c>
      <c r="P87" s="147" t="inlineStr">
        <is>
          <t>未磷酸化</t>
        </is>
      </c>
      <c r="Q87" s="147" t="inlineStr">
        <is>
          <t>未环化</t>
        </is>
      </c>
      <c r="R87" s="147" t="inlineStr">
        <is>
          <t>A</t>
        </is>
      </c>
      <c r="S87" s="147" t="n"/>
    </row>
    <row r="88" ht="30" customHeight="1" s="76">
      <c r="A88" s="152" t="n"/>
      <c r="B88" s="144" t="inlineStr">
        <is>
          <t>HGC-Lib-26097267</t>
        </is>
      </c>
      <c r="C88" s="144" t="n">
        <v>68.571</v>
      </c>
      <c r="D88" s="145" t="n">
        <v>5</v>
      </c>
      <c r="E88" s="146">
        <f>ROUND(D88/SUM(D86:D94)*IF(C88="",50,50.0),3)</f>
        <v/>
      </c>
      <c r="F88" s="146">
        <f>ROUND(E88/C88*G95,3)</f>
        <v/>
      </c>
      <c r="G88" s="144" t="inlineStr">
        <is>
          <t>无参转录组（RNA-seq）</t>
        </is>
      </c>
      <c r="H88" s="144" t="inlineStr">
        <is>
          <t>广州奥智生物科技有限公司</t>
        </is>
      </c>
      <c r="I88" s="146" t="n"/>
      <c r="J88" s="144" t="n"/>
      <c r="K88" s="144" t="inlineStr">
        <is>
          <t>26.7.28-3_G2</t>
        </is>
      </c>
      <c r="L88" s="147" t="n"/>
      <c r="M88" s="147" t="n"/>
      <c r="N88" s="147" t="n">
        <v>68.571</v>
      </c>
      <c r="O88" s="147" t="inlineStr">
        <is>
          <t>Illumina Truseq文库</t>
        </is>
      </c>
      <c r="P88" s="147" t="inlineStr">
        <is>
          <t>未磷酸化</t>
        </is>
      </c>
      <c r="Q88" s="147" t="inlineStr">
        <is>
          <t>未环化</t>
        </is>
      </c>
      <c r="R88" s="147" t="inlineStr">
        <is>
          <t>A</t>
        </is>
      </c>
      <c r="S88" s="147" t="n"/>
    </row>
    <row r="89" ht="30" customHeight="1" s="76">
      <c r="A89" s="152" t="n"/>
      <c r="B89" s="144" t="inlineStr">
        <is>
          <t>HGC-Lib-26097268</t>
        </is>
      </c>
      <c r="C89" s="144" t="n">
        <v>78.696</v>
      </c>
      <c r="D89" s="145" t="n">
        <v>5</v>
      </c>
      <c r="E89" s="146">
        <f>ROUND(D89/SUM(D86:D94)*IF(C89="",50,50.0),3)</f>
        <v/>
      </c>
      <c r="F89" s="146">
        <f>ROUND(E89/C89*G95,3)</f>
        <v/>
      </c>
      <c r="G89" s="144" t="inlineStr">
        <is>
          <t>无参转录组（RNA-seq）</t>
        </is>
      </c>
      <c r="H89" s="144" t="inlineStr">
        <is>
          <t>广州奥智生物科技有限公司</t>
        </is>
      </c>
      <c r="I89" s="146" t="n"/>
      <c r="J89" s="144" t="n"/>
      <c r="K89" s="144" t="inlineStr">
        <is>
          <t>26.7.28-3_G3</t>
        </is>
      </c>
      <c r="L89" s="147" t="n"/>
      <c r="M89" s="147" t="n"/>
      <c r="N89" s="147" t="n">
        <v>78.696</v>
      </c>
      <c r="O89" s="147" t="inlineStr">
        <is>
          <t>Illumina Truseq文库</t>
        </is>
      </c>
      <c r="P89" s="147" t="inlineStr">
        <is>
          <t>未磷酸化</t>
        </is>
      </c>
      <c r="Q89" s="147" t="inlineStr">
        <is>
          <t>未环化</t>
        </is>
      </c>
      <c r="R89" s="147" t="inlineStr">
        <is>
          <t>A</t>
        </is>
      </c>
      <c r="S89" s="147" t="n"/>
    </row>
    <row r="90" ht="30" customHeight="1" s="76">
      <c r="A90" s="152" t="n"/>
      <c r="B90" s="144" t="inlineStr">
        <is>
          <t>HGC-Lib-26097269</t>
        </is>
      </c>
      <c r="C90" s="144" t="n">
        <v>33.12</v>
      </c>
      <c r="D90" s="145" t="n">
        <v>5</v>
      </c>
      <c r="E90" s="146">
        <f>ROUND(D90/SUM(D86:D94)*IF(C90="",50,50.0),3)</f>
        <v/>
      </c>
      <c r="F90" s="146">
        <f>ROUND(E90/C90*G95,3)</f>
        <v/>
      </c>
      <c r="G90" s="144" t="inlineStr">
        <is>
          <t>无参转录组（RNA-seq）</t>
        </is>
      </c>
      <c r="H90" s="144" t="inlineStr">
        <is>
          <t>广州奥智生物科技有限公司</t>
        </is>
      </c>
      <c r="I90" s="146" t="n"/>
      <c r="J90" s="144" t="n"/>
      <c r="K90" s="144" t="inlineStr">
        <is>
          <t>26.7.28-3_G4</t>
        </is>
      </c>
      <c r="L90" s="147" t="n"/>
      <c r="M90" s="147" t="n"/>
      <c r="N90" s="147" t="n">
        <v>33.12</v>
      </c>
      <c r="O90" s="147" t="inlineStr">
        <is>
          <t>Illumina Truseq文库</t>
        </is>
      </c>
      <c r="P90" s="147" t="inlineStr">
        <is>
          <t>未磷酸化</t>
        </is>
      </c>
      <c r="Q90" s="147" t="inlineStr">
        <is>
          <t>未环化</t>
        </is>
      </c>
      <c r="R90" s="147" t="inlineStr">
        <is>
          <t>A</t>
        </is>
      </c>
      <c r="S90" s="147" t="n"/>
    </row>
    <row r="91" ht="30" customHeight="1" s="76">
      <c r="A91" s="152" t="n"/>
      <c r="B91" s="144" t="inlineStr">
        <is>
          <t>HGC-Lib-26097270</t>
        </is>
      </c>
      <c r="C91" s="144" t="n">
        <v>76.473</v>
      </c>
      <c r="D91" s="145" t="n">
        <v>5</v>
      </c>
      <c r="E91" s="146">
        <f>ROUND(D91/SUM(D86:D94)*IF(C91="",50,50.0),3)</f>
        <v/>
      </c>
      <c r="F91" s="146">
        <f>ROUND(E91/C91*G95,3)</f>
        <v/>
      </c>
      <c r="G91" s="144" t="inlineStr">
        <is>
          <t>无参转录组（RNA-seq）</t>
        </is>
      </c>
      <c r="H91" s="144" t="inlineStr">
        <is>
          <t>广州奥智生物科技有限公司</t>
        </is>
      </c>
      <c r="I91" s="146" t="n"/>
      <c r="J91" s="144" t="n"/>
      <c r="K91" s="144" t="inlineStr">
        <is>
          <t>26.7.28-3_G5</t>
        </is>
      </c>
      <c r="L91" s="147" t="n"/>
      <c r="M91" s="147" t="n"/>
      <c r="N91" s="147" t="n">
        <v>76.473</v>
      </c>
      <c r="O91" s="147" t="inlineStr">
        <is>
          <t>Illumina Truseq文库</t>
        </is>
      </c>
      <c r="P91" s="147" t="inlineStr">
        <is>
          <t>未磷酸化</t>
        </is>
      </c>
      <c r="Q91" s="147" t="inlineStr">
        <is>
          <t>未环化</t>
        </is>
      </c>
      <c r="R91" s="147" t="inlineStr">
        <is>
          <t>A</t>
        </is>
      </c>
      <c r="S91" s="147" t="n"/>
    </row>
    <row r="92" ht="30" customHeight="1" s="76">
      <c r="A92" s="152" t="n"/>
      <c r="B92" s="144" t="inlineStr">
        <is>
          <t>HGC-Lib-26097271</t>
        </is>
      </c>
      <c r="C92" s="144" t="n">
        <v>73.215</v>
      </c>
      <c r="D92" s="145" t="n">
        <v>5</v>
      </c>
      <c r="E92" s="146">
        <f>ROUND(D92/SUM(D86:D94)*IF(C92="",50,50.0),3)</f>
        <v/>
      </c>
      <c r="F92" s="146">
        <f>ROUND(E92/C92*G95,3)</f>
        <v/>
      </c>
      <c r="G92" s="144" t="inlineStr">
        <is>
          <t>无参转录组（RNA-seq）</t>
        </is>
      </c>
      <c r="H92" s="144" t="inlineStr">
        <is>
          <t>广州奥智生物科技有限公司</t>
        </is>
      </c>
      <c r="I92" s="146" t="n"/>
      <c r="J92" s="144" t="n"/>
      <c r="K92" s="144" t="inlineStr">
        <is>
          <t>26.7.28-3_G6</t>
        </is>
      </c>
      <c r="L92" s="147" t="n"/>
      <c r="M92" s="147" t="n"/>
      <c r="N92" s="147" t="n">
        <v>73.215</v>
      </c>
      <c r="O92" s="147" t="inlineStr">
        <is>
          <t>Illumina Truseq文库</t>
        </is>
      </c>
      <c r="P92" s="147" t="inlineStr">
        <is>
          <t>未磷酸化</t>
        </is>
      </c>
      <c r="Q92" s="147" t="inlineStr">
        <is>
          <t>未环化</t>
        </is>
      </c>
      <c r="R92" s="147" t="inlineStr">
        <is>
          <t>A</t>
        </is>
      </c>
      <c r="S92" s="147" t="n"/>
    </row>
    <row r="93" ht="30" customHeight="1" s="76">
      <c r="A93" s="152" t="n"/>
      <c r="B93" s="144" t="inlineStr">
        <is>
          <t>HGC-Lib-26097272</t>
        </is>
      </c>
      <c r="C93" s="144" t="n">
        <v>74.529</v>
      </c>
      <c r="D93" s="145" t="n">
        <v>5</v>
      </c>
      <c r="E93" s="146">
        <f>ROUND(D93/SUM(D86:D94)*IF(C93="",50,50.0),3)</f>
        <v/>
      </c>
      <c r="F93" s="146">
        <f>ROUND(E93/C93*G95,3)</f>
        <v/>
      </c>
      <c r="G93" s="144" t="inlineStr">
        <is>
          <t>无参转录组（RNA-seq）</t>
        </is>
      </c>
      <c r="H93" s="144" t="inlineStr">
        <is>
          <t>广州奥智生物科技有限公司</t>
        </is>
      </c>
      <c r="I93" s="146" t="n"/>
      <c r="J93" s="144" t="n"/>
      <c r="K93" s="144" t="inlineStr">
        <is>
          <t>26.7.28-3_G7</t>
        </is>
      </c>
      <c r="L93" s="147" t="n"/>
      <c r="M93" s="147" t="n"/>
      <c r="N93" s="147" t="n">
        <v>74.529</v>
      </c>
      <c r="O93" s="147" t="inlineStr">
        <is>
          <t>Illumina Truseq文库</t>
        </is>
      </c>
      <c r="P93" s="147" t="inlineStr">
        <is>
          <t>未磷酸化</t>
        </is>
      </c>
      <c r="Q93" s="147" t="inlineStr">
        <is>
          <t>未环化</t>
        </is>
      </c>
      <c r="R93" s="147" t="inlineStr">
        <is>
          <t>A</t>
        </is>
      </c>
      <c r="S93" s="147" t="n"/>
    </row>
    <row r="94" ht="30" customHeight="1" s="76">
      <c r="A94" s="153" t="n"/>
      <c r="B94" s="144" t="inlineStr">
        <is>
          <t>HGC-Lib-26097273</t>
        </is>
      </c>
      <c r="C94" s="144" t="n">
        <v>31.86</v>
      </c>
      <c r="D94" s="145" t="n">
        <v>5</v>
      </c>
      <c r="E94" s="146">
        <f>ROUND(D94/SUM(D86:D94)*IF(C94="",50,50.0),3)</f>
        <v/>
      </c>
      <c r="F94" s="146">
        <f>ROUND(E94/C94*G95,3)</f>
        <v/>
      </c>
      <c r="G94" s="144" t="inlineStr">
        <is>
          <t>无参转录组（RNA-seq）</t>
        </is>
      </c>
      <c r="H94" s="144" t="inlineStr">
        <is>
          <t>广州奥智生物科技有限公司</t>
        </is>
      </c>
      <c r="I94" s="146" t="n"/>
      <c r="J94" s="144" t="n"/>
      <c r="K94" s="144" t="inlineStr">
        <is>
          <t>26.7.28-3_G8</t>
        </is>
      </c>
      <c r="L94" s="147" t="n"/>
      <c r="M94" s="147" t="n"/>
      <c r="N94" s="147" t="n">
        <v>31.86</v>
      </c>
      <c r="O94" s="147" t="inlineStr">
        <is>
          <t>Illumina Truseq文库</t>
        </is>
      </c>
      <c r="P94" s="147" t="inlineStr">
        <is>
          <t>未磷酸化</t>
        </is>
      </c>
      <c r="Q94" s="147" t="inlineStr">
        <is>
          <t>未环化</t>
        </is>
      </c>
      <c r="R94" s="147" t="inlineStr">
        <is>
          <t>A</t>
        </is>
      </c>
      <c r="S94" s="147" t="n"/>
    </row>
    <row r="95" ht="30" customHeight="1" s="76">
      <c r="A95" s="148" t="n"/>
      <c r="B95" s="147" t="n">
        <v>9</v>
      </c>
      <c r="C95" s="148" t="n"/>
      <c r="D95" s="149">
        <f>ROUND(SUM(D86:D94),2)</f>
        <v/>
      </c>
      <c r="E95" s="150">
        <f>ROUND(SUM(E86:E94),3)</f>
        <v/>
      </c>
      <c r="F95" s="150">
        <f>IF(G95&gt;1,ROUND(SUM(F86:F94)/G95*2,3),ROUND(SUM(F86:F94),3))</f>
        <v/>
      </c>
      <c r="G95" s="147" t="n">
        <v>15</v>
      </c>
      <c r="H95" s="148" t="n"/>
      <c r="I95" s="151">
        <f>ROUND(20-F95,3)</f>
        <v/>
      </c>
      <c r="J95" s="148" t="n"/>
      <c r="K95" s="148" t="n"/>
      <c r="L95" s="148" t="n"/>
      <c r="M95" s="147">
        <f>AVERAGE(M86:M94)</f>
        <v/>
      </c>
      <c r="N95" s="148" t="n"/>
      <c r="O95" s="148" t="n"/>
      <c r="P95" s="148" t="n"/>
      <c r="Q95" s="148" t="n"/>
      <c r="R95" s="148" t="n"/>
      <c r="S95" s="148" t="n"/>
    </row>
    <row r="96" ht="30" customHeight="1" s="76">
      <c r="A96" s="144" t="inlineStr">
        <is>
          <t>B6</t>
        </is>
      </c>
      <c r="B96" s="144" t="inlineStr">
        <is>
          <t>HGC-Lib-26097200</t>
        </is>
      </c>
      <c r="C96" s="144" t="n">
        <v>55.23</v>
      </c>
      <c r="D96" s="145" t="n">
        <v>5</v>
      </c>
      <c r="E96" s="146">
        <f>ROUND(D96/SUM(D96:D204)*IF(C96="",50,50.0),3)</f>
        <v/>
      </c>
      <c r="F96" s="146">
        <f>ROUND(E96/C96*G205,3)</f>
        <v/>
      </c>
      <c r="G96" s="144" t="inlineStr">
        <is>
          <t>有参转录组（RNA-seq）</t>
        </is>
      </c>
      <c r="H96" s="144" t="inlineStr">
        <is>
          <t>广州奥智生物科技有限公司</t>
        </is>
      </c>
      <c r="I96" s="146" t="n"/>
      <c r="J96" s="144" t="n"/>
      <c r="K96" s="144" t="n"/>
      <c r="L96" s="147" t="n"/>
      <c r="M96" s="147" t="n"/>
      <c r="N96" s="147" t="n">
        <v>55.23</v>
      </c>
      <c r="O96" s="147" t="inlineStr">
        <is>
          <t>Illumina Truseq文库</t>
        </is>
      </c>
      <c r="P96" s="147" t="inlineStr">
        <is>
          <t>未磷酸化</t>
        </is>
      </c>
      <c r="Q96" s="147" t="inlineStr">
        <is>
          <t>未环化</t>
        </is>
      </c>
      <c r="R96" s="147" t="inlineStr">
        <is>
          <t>A</t>
        </is>
      </c>
      <c r="S96" s="147" t="n"/>
    </row>
    <row r="97" ht="30" customHeight="1" s="76">
      <c r="A97" s="152" t="n"/>
      <c r="B97" s="144" t="inlineStr">
        <is>
          <t>HGC-Lib-26097203</t>
        </is>
      </c>
      <c r="C97" s="144" t="n">
        <v>26.11</v>
      </c>
      <c r="D97" s="145" t="n">
        <v>5</v>
      </c>
      <c r="E97" s="146">
        <f>ROUND(D97/SUM(D96:D204)*IF(C97="",50,50.0),3)</f>
        <v/>
      </c>
      <c r="F97" s="146">
        <f>ROUND(E97/C97*G205,3)</f>
        <v/>
      </c>
      <c r="G97" s="144" t="inlineStr">
        <is>
          <t>有参转录组（RNA-seq）</t>
        </is>
      </c>
      <c r="H97" s="144" t="inlineStr">
        <is>
          <t>广州奥智生物科技有限公司</t>
        </is>
      </c>
      <c r="I97" s="146" t="n"/>
      <c r="J97" s="144" t="n"/>
      <c r="K97" s="144" t="n"/>
      <c r="L97" s="147" t="n"/>
      <c r="M97" s="147" t="n"/>
      <c r="N97" s="147" t="n">
        <v>26.11</v>
      </c>
      <c r="O97" s="147" t="inlineStr">
        <is>
          <t>Illumina Truseq文库</t>
        </is>
      </c>
      <c r="P97" s="147" t="inlineStr">
        <is>
          <t>未磷酸化</t>
        </is>
      </c>
      <c r="Q97" s="147" t="inlineStr">
        <is>
          <t>未环化</t>
        </is>
      </c>
      <c r="R97" s="147" t="inlineStr">
        <is>
          <t>A</t>
        </is>
      </c>
      <c r="S97" s="147" t="n"/>
    </row>
    <row r="98" ht="30" customHeight="1" s="76">
      <c r="A98" s="152" t="n"/>
      <c r="B98" s="144" t="inlineStr">
        <is>
          <t>HGC-Lib-26097204</t>
        </is>
      </c>
      <c r="C98" s="144" t="n">
        <v>50.22</v>
      </c>
      <c r="D98" s="145" t="n">
        <v>5</v>
      </c>
      <c r="E98" s="146">
        <f>ROUND(D98/SUM(D96:D204)*IF(C98="",50,50.0),3)</f>
        <v/>
      </c>
      <c r="F98" s="146">
        <f>ROUND(E98/C98*G205,3)</f>
        <v/>
      </c>
      <c r="G98" s="144" t="inlineStr">
        <is>
          <t>有参转录组（RNA-seq）</t>
        </is>
      </c>
      <c r="H98" s="144" t="inlineStr">
        <is>
          <t>广州奥智生物科技有限公司</t>
        </is>
      </c>
      <c r="I98" s="146" t="n"/>
      <c r="J98" s="144" t="n"/>
      <c r="K98" s="144" t="n"/>
      <c r="L98" s="147" t="n"/>
      <c r="M98" s="147" t="n"/>
      <c r="N98" s="147" t="n">
        <v>50.22</v>
      </c>
      <c r="O98" s="147" t="inlineStr">
        <is>
          <t>Illumina Truseq文库</t>
        </is>
      </c>
      <c r="P98" s="147" t="inlineStr">
        <is>
          <t>未磷酸化</t>
        </is>
      </c>
      <c r="Q98" s="147" t="inlineStr">
        <is>
          <t>未环化</t>
        </is>
      </c>
      <c r="R98" s="147" t="inlineStr">
        <is>
          <t>A</t>
        </is>
      </c>
      <c r="S98" s="147" t="n"/>
    </row>
    <row r="99" ht="30" customHeight="1" s="76">
      <c r="A99" s="152" t="n"/>
      <c r="B99" s="144" t="inlineStr">
        <is>
          <t>HGC-Lib-26097205</t>
        </is>
      </c>
      <c r="C99" s="144" t="n">
        <v>50.38</v>
      </c>
      <c r="D99" s="145" t="n">
        <v>5</v>
      </c>
      <c r="E99" s="146">
        <f>ROUND(D99/SUM(D96:D204)*IF(C99="",50,50.0),3)</f>
        <v/>
      </c>
      <c r="F99" s="146">
        <f>ROUND(E99/C99*G205,3)</f>
        <v/>
      </c>
      <c r="G99" s="144" t="inlineStr">
        <is>
          <t>有参转录组（RNA-seq）</t>
        </is>
      </c>
      <c r="H99" s="144" t="inlineStr">
        <is>
          <t>广州奥智生物科技有限公司</t>
        </is>
      </c>
      <c r="I99" s="146" t="n"/>
      <c r="J99" s="144" t="n"/>
      <c r="K99" s="144" t="n"/>
      <c r="L99" s="147" t="n"/>
      <c r="M99" s="147" t="n"/>
      <c r="N99" s="147" t="n">
        <v>50.38</v>
      </c>
      <c r="O99" s="147" t="inlineStr">
        <is>
          <t>Illumina Truseq文库</t>
        </is>
      </c>
      <c r="P99" s="147" t="inlineStr">
        <is>
          <t>未磷酸化</t>
        </is>
      </c>
      <c r="Q99" s="147" t="inlineStr">
        <is>
          <t>未环化</t>
        </is>
      </c>
      <c r="R99" s="147" t="inlineStr">
        <is>
          <t>A</t>
        </is>
      </c>
      <c r="S99" s="147" t="n"/>
    </row>
    <row r="100" ht="30" customHeight="1" s="76">
      <c r="A100" s="152" t="n"/>
      <c r="B100" s="144" t="inlineStr">
        <is>
          <t>HGC-Lib-26097206</t>
        </is>
      </c>
      <c r="C100" s="144" t="n">
        <v>20.6</v>
      </c>
      <c r="D100" s="145" t="n">
        <v>5</v>
      </c>
      <c r="E100" s="146">
        <f>ROUND(D100/SUM(D96:D204)*IF(C100="",50,50.0),3)</f>
        <v/>
      </c>
      <c r="F100" s="146">
        <f>ROUND(E100/C100*G205,3)</f>
        <v/>
      </c>
      <c r="G100" s="144" t="inlineStr">
        <is>
          <t>有参转录组（RNA-seq）</t>
        </is>
      </c>
      <c r="H100" s="144" t="inlineStr">
        <is>
          <t>广州奥智生物科技有限公司</t>
        </is>
      </c>
      <c r="I100" s="146" t="n"/>
      <c r="J100" s="144" t="n"/>
      <c r="K100" s="144" t="inlineStr">
        <is>
          <t>26.7.28-3_A1</t>
        </is>
      </c>
      <c r="L100" s="147" t="n"/>
      <c r="M100" s="147" t="n"/>
      <c r="N100" s="147" t="n">
        <v>20.6</v>
      </c>
      <c r="O100" s="147" t="inlineStr">
        <is>
          <t>Illumina Truseq文库</t>
        </is>
      </c>
      <c r="P100" s="147" t="inlineStr">
        <is>
          <t>未磷酸化</t>
        </is>
      </c>
      <c r="Q100" s="147" t="inlineStr">
        <is>
          <t>未环化</t>
        </is>
      </c>
      <c r="R100" s="147" t="inlineStr">
        <is>
          <t>A</t>
        </is>
      </c>
      <c r="S100" s="147" t="n"/>
    </row>
    <row r="101" ht="30" customHeight="1" s="76">
      <c r="A101" s="152" t="n"/>
      <c r="B101" s="144" t="inlineStr">
        <is>
          <t>HGC-Lib-26097207</t>
        </is>
      </c>
      <c r="C101" s="144" t="n">
        <v>34</v>
      </c>
      <c r="D101" s="145" t="n">
        <v>5</v>
      </c>
      <c r="E101" s="146">
        <f>ROUND(D101/SUM(D96:D204)*IF(C101="",50,50.0),3)</f>
        <v/>
      </c>
      <c r="F101" s="146">
        <f>ROUND(E101/C101*G205,3)</f>
        <v/>
      </c>
      <c r="G101" s="144" t="inlineStr">
        <is>
          <t>有参转录组（RNA-seq）</t>
        </is>
      </c>
      <c r="H101" s="144" t="inlineStr">
        <is>
          <t>广州奥智生物科技有限公司</t>
        </is>
      </c>
      <c r="I101" s="146" t="n"/>
      <c r="J101" s="144" t="n"/>
      <c r="K101" s="144" t="inlineStr">
        <is>
          <t>26.7.28-3_A2</t>
        </is>
      </c>
      <c r="L101" s="147" t="n"/>
      <c r="M101" s="147" t="n"/>
      <c r="N101" s="147" t="n">
        <v>34</v>
      </c>
      <c r="O101" s="147" t="inlineStr">
        <is>
          <t>Illumina Truseq文库</t>
        </is>
      </c>
      <c r="P101" s="147" t="inlineStr">
        <is>
          <t>未磷酸化</t>
        </is>
      </c>
      <c r="Q101" s="147" t="inlineStr">
        <is>
          <t>未环化</t>
        </is>
      </c>
      <c r="R101" s="147" t="inlineStr">
        <is>
          <t>A</t>
        </is>
      </c>
      <c r="S101" s="147" t="n"/>
    </row>
    <row r="102" ht="30" customHeight="1" s="76">
      <c r="A102" s="152" t="n"/>
      <c r="B102" s="144" t="inlineStr">
        <is>
          <t>HGC-Lib-26097208</t>
        </is>
      </c>
      <c r="C102" s="144" t="n">
        <v>33.2</v>
      </c>
      <c r="D102" s="145" t="n">
        <v>5</v>
      </c>
      <c r="E102" s="146">
        <f>ROUND(D102/SUM(D96:D204)*IF(C102="",50,50.0),3)</f>
        <v/>
      </c>
      <c r="F102" s="146">
        <f>ROUND(E102/C102*G205,3)</f>
        <v/>
      </c>
      <c r="G102" s="144" t="inlineStr">
        <is>
          <t>有参转录组（RNA-seq）</t>
        </is>
      </c>
      <c r="H102" s="144" t="inlineStr">
        <is>
          <t>广州奥智生物科技有限公司</t>
        </is>
      </c>
      <c r="I102" s="146" t="n"/>
      <c r="J102" s="144" t="n"/>
      <c r="K102" s="144" t="inlineStr">
        <is>
          <t>26.7.28-3_A3</t>
        </is>
      </c>
      <c r="L102" s="147" t="n"/>
      <c r="M102" s="147" t="n"/>
      <c r="N102" s="147" t="n">
        <v>33.2</v>
      </c>
      <c r="O102" s="147" t="inlineStr">
        <is>
          <t>Illumina Truseq文库</t>
        </is>
      </c>
      <c r="P102" s="147" t="inlineStr">
        <is>
          <t>未磷酸化</t>
        </is>
      </c>
      <c r="Q102" s="147" t="inlineStr">
        <is>
          <t>未环化</t>
        </is>
      </c>
      <c r="R102" s="147" t="inlineStr">
        <is>
          <t>A</t>
        </is>
      </c>
      <c r="S102" s="147" t="n"/>
    </row>
    <row r="103" ht="30" customHeight="1" s="76">
      <c r="A103" s="152" t="n"/>
      <c r="B103" s="144" t="inlineStr">
        <is>
          <t>HGC-Lib-26097209</t>
        </is>
      </c>
      <c r="C103" s="144" t="n">
        <v>76.68000000000001</v>
      </c>
      <c r="D103" s="145" t="n">
        <v>5</v>
      </c>
      <c r="E103" s="146">
        <f>ROUND(D103/SUM(D96:D204)*IF(C103="",50,50.0),3)</f>
        <v/>
      </c>
      <c r="F103" s="146">
        <f>ROUND(E103/C103*G205,3)</f>
        <v/>
      </c>
      <c r="G103" s="144" t="inlineStr">
        <is>
          <t>有参转录组（RNA-seq）</t>
        </is>
      </c>
      <c r="H103" s="144" t="inlineStr">
        <is>
          <t>广州奥智生物科技有限公司</t>
        </is>
      </c>
      <c r="I103" s="146" t="n"/>
      <c r="J103" s="144" t="n"/>
      <c r="K103" s="144" t="inlineStr">
        <is>
          <t>26.7.28-3_A4</t>
        </is>
      </c>
      <c r="L103" s="147" t="n"/>
      <c r="M103" s="147" t="n"/>
      <c r="N103" s="147" t="n">
        <v>76.68000000000001</v>
      </c>
      <c r="O103" s="147" t="inlineStr">
        <is>
          <t>Illumina Truseq文库</t>
        </is>
      </c>
      <c r="P103" s="147" t="inlineStr">
        <is>
          <t>未磷酸化</t>
        </is>
      </c>
      <c r="Q103" s="147" t="inlineStr">
        <is>
          <t>未环化</t>
        </is>
      </c>
      <c r="R103" s="147" t="inlineStr">
        <is>
          <t>A</t>
        </is>
      </c>
      <c r="S103" s="147" t="n"/>
    </row>
    <row r="104" ht="30" customHeight="1" s="76">
      <c r="A104" s="152" t="n"/>
      <c r="B104" s="144" t="inlineStr">
        <is>
          <t>HGC-Lib-26097210</t>
        </is>
      </c>
      <c r="C104" s="144" t="n">
        <v>64.179</v>
      </c>
      <c r="D104" s="145" t="n">
        <v>5</v>
      </c>
      <c r="E104" s="146">
        <f>ROUND(D104/SUM(D96:D204)*IF(C104="",50,50.0),3)</f>
        <v/>
      </c>
      <c r="F104" s="146">
        <f>ROUND(E104/C104*G205,3)</f>
        <v/>
      </c>
      <c r="G104" s="144" t="inlineStr">
        <is>
          <t>有参转录组（RNA-seq）</t>
        </is>
      </c>
      <c r="H104" s="144" t="inlineStr">
        <is>
          <t>广州奥智生物科技有限公司</t>
        </is>
      </c>
      <c r="I104" s="146" t="n"/>
      <c r="J104" s="144" t="n"/>
      <c r="K104" s="144" t="inlineStr">
        <is>
          <t>26.7.28-3_A5</t>
        </is>
      </c>
      <c r="L104" s="147" t="n"/>
      <c r="M104" s="147" t="n"/>
      <c r="N104" s="147" t="n">
        <v>64.179</v>
      </c>
      <c r="O104" s="147" t="inlineStr">
        <is>
          <t>Illumina Truseq文库</t>
        </is>
      </c>
      <c r="P104" s="147" t="inlineStr">
        <is>
          <t>未磷酸化</t>
        </is>
      </c>
      <c r="Q104" s="147" t="inlineStr">
        <is>
          <t>未环化</t>
        </is>
      </c>
      <c r="R104" s="147" t="inlineStr">
        <is>
          <t>A</t>
        </is>
      </c>
      <c r="S104" s="147" t="n"/>
    </row>
    <row r="105" ht="30" customHeight="1" s="76">
      <c r="A105" s="152" t="n"/>
      <c r="B105" s="144" t="inlineStr">
        <is>
          <t>HGC-Lib-26097211</t>
        </is>
      </c>
      <c r="C105" s="144" t="n">
        <v>65.43899999999999</v>
      </c>
      <c r="D105" s="145" t="n">
        <v>5</v>
      </c>
      <c r="E105" s="146">
        <f>ROUND(D105/SUM(D96:D204)*IF(C105="",50,50.0),3)</f>
        <v/>
      </c>
      <c r="F105" s="146">
        <f>ROUND(E105/C105*G205,3)</f>
        <v/>
      </c>
      <c r="G105" s="144" t="inlineStr">
        <is>
          <t>有参转录组（RNA-seq）</t>
        </is>
      </c>
      <c r="H105" s="144" t="inlineStr">
        <is>
          <t>广州奥智生物科技有限公司</t>
        </is>
      </c>
      <c r="I105" s="146" t="n"/>
      <c r="J105" s="144" t="n"/>
      <c r="K105" s="144" t="inlineStr">
        <is>
          <t>26.7.28-3_A6</t>
        </is>
      </c>
      <c r="L105" s="147" t="n"/>
      <c r="M105" s="147" t="n"/>
      <c r="N105" s="147" t="n">
        <v>65.43899999999999</v>
      </c>
      <c r="O105" s="147" t="inlineStr">
        <is>
          <t>Illumina Truseq文库</t>
        </is>
      </c>
      <c r="P105" s="147" t="inlineStr">
        <is>
          <t>未磷酸化</t>
        </is>
      </c>
      <c r="Q105" s="147" t="inlineStr">
        <is>
          <t>未环化</t>
        </is>
      </c>
      <c r="R105" s="147" t="inlineStr">
        <is>
          <t>A</t>
        </is>
      </c>
      <c r="S105" s="147" t="n"/>
    </row>
    <row r="106" ht="30" customHeight="1" s="76">
      <c r="A106" s="152" t="n"/>
      <c r="B106" s="144" t="inlineStr">
        <is>
          <t>HGC-Lib-26097212</t>
        </is>
      </c>
      <c r="C106" s="144" t="n">
        <v>75.57299999999999</v>
      </c>
      <c r="D106" s="145" t="n">
        <v>5</v>
      </c>
      <c r="E106" s="146">
        <f>ROUND(D106/SUM(D96:D204)*IF(C106="",50,50.0),3)</f>
        <v/>
      </c>
      <c r="F106" s="146">
        <f>ROUND(E106/C106*G205,3)</f>
        <v/>
      </c>
      <c r="G106" s="144" t="inlineStr">
        <is>
          <t>有参转录组（RNA-seq）</t>
        </is>
      </c>
      <c r="H106" s="144" t="inlineStr">
        <is>
          <t>广州奥智生物科技有限公司</t>
        </is>
      </c>
      <c r="I106" s="146" t="n"/>
      <c r="J106" s="144" t="n"/>
      <c r="K106" s="144" t="inlineStr">
        <is>
          <t>26.7.28-3_A7</t>
        </is>
      </c>
      <c r="L106" s="147" t="n"/>
      <c r="M106" s="147" t="n"/>
      <c r="N106" s="147" t="n">
        <v>75.57299999999999</v>
      </c>
      <c r="O106" s="147" t="inlineStr">
        <is>
          <t>Illumina Truseq文库</t>
        </is>
      </c>
      <c r="P106" s="147" t="inlineStr">
        <is>
          <t>未磷酸化</t>
        </is>
      </c>
      <c r="Q106" s="147" t="inlineStr">
        <is>
          <t>未环化</t>
        </is>
      </c>
      <c r="R106" s="147" t="inlineStr">
        <is>
          <t>A</t>
        </is>
      </c>
      <c r="S106" s="147" t="n"/>
    </row>
    <row r="107" ht="30" customHeight="1" s="76">
      <c r="A107" s="152" t="n"/>
      <c r="B107" s="144" t="inlineStr">
        <is>
          <t>HGC-Lib-26097213</t>
        </is>
      </c>
      <c r="C107" s="144" t="n">
        <v>73.64700000000001</v>
      </c>
      <c r="D107" s="145" t="n">
        <v>5</v>
      </c>
      <c r="E107" s="146">
        <f>ROUND(D107/SUM(D96:D204)*IF(C107="",50,50.0),3)</f>
        <v/>
      </c>
      <c r="F107" s="146">
        <f>ROUND(E107/C107*G205,3)</f>
        <v/>
      </c>
      <c r="G107" s="144" t="inlineStr">
        <is>
          <t>有参转录组（RNA-seq）</t>
        </is>
      </c>
      <c r="H107" s="144" t="inlineStr">
        <is>
          <t>广州奥智生物科技有限公司</t>
        </is>
      </c>
      <c r="I107" s="146" t="n"/>
      <c r="J107" s="144" t="n"/>
      <c r="K107" s="144" t="inlineStr">
        <is>
          <t>26.7.28-3_A8</t>
        </is>
      </c>
      <c r="L107" s="147" t="n"/>
      <c r="M107" s="147" t="n"/>
      <c r="N107" s="147" t="n">
        <v>73.64700000000001</v>
      </c>
      <c r="O107" s="147" t="inlineStr">
        <is>
          <t>Illumina Truseq文库</t>
        </is>
      </c>
      <c r="P107" s="147" t="inlineStr">
        <is>
          <t>未磷酸化</t>
        </is>
      </c>
      <c r="Q107" s="147" t="inlineStr">
        <is>
          <t>未环化</t>
        </is>
      </c>
      <c r="R107" s="147" t="inlineStr">
        <is>
          <t>A</t>
        </is>
      </c>
      <c r="S107" s="147" t="n"/>
    </row>
    <row r="108" ht="30" customHeight="1" s="76">
      <c r="A108" s="152" t="n"/>
      <c r="B108" s="144" t="inlineStr">
        <is>
          <t>HGC-Lib-26097214</t>
        </is>
      </c>
      <c r="C108" s="144" t="n">
        <v>62.955</v>
      </c>
      <c r="D108" s="145" t="n">
        <v>5</v>
      </c>
      <c r="E108" s="146">
        <f>ROUND(D108/SUM(D96:D204)*IF(C108="",50,50.0),3)</f>
        <v/>
      </c>
      <c r="F108" s="146">
        <f>ROUND(E108/C108*G205,3)</f>
        <v/>
      </c>
      <c r="G108" s="144" t="inlineStr">
        <is>
          <t>有参转录组（RNA-seq）</t>
        </is>
      </c>
      <c r="H108" s="144" t="inlineStr">
        <is>
          <t>广州奥智生物科技有限公司</t>
        </is>
      </c>
      <c r="I108" s="146" t="n"/>
      <c r="J108" s="144" t="n"/>
      <c r="K108" s="144" t="inlineStr">
        <is>
          <t>26.7.28-3_A9</t>
        </is>
      </c>
      <c r="L108" s="147" t="n"/>
      <c r="M108" s="147" t="n"/>
      <c r="N108" s="147" t="n">
        <v>62.955</v>
      </c>
      <c r="O108" s="147" t="inlineStr">
        <is>
          <t>Illumina Truseq文库</t>
        </is>
      </c>
      <c r="P108" s="147" t="inlineStr">
        <is>
          <t>未磷酸化</t>
        </is>
      </c>
      <c r="Q108" s="147" t="inlineStr">
        <is>
          <t>未环化</t>
        </is>
      </c>
      <c r="R108" s="147" t="inlineStr">
        <is>
          <t>A</t>
        </is>
      </c>
      <c r="S108" s="147" t="n"/>
    </row>
    <row r="109" ht="30" customHeight="1" s="76">
      <c r="A109" s="152" t="n"/>
      <c r="B109" s="144" t="inlineStr">
        <is>
          <t>HGC-Lib-26097215</t>
        </is>
      </c>
      <c r="C109" s="144" t="n">
        <v>70.497</v>
      </c>
      <c r="D109" s="145" t="n">
        <v>5</v>
      </c>
      <c r="E109" s="146">
        <f>ROUND(D109/SUM(D96:D204)*IF(C109="",50,50.0),3)</f>
        <v/>
      </c>
      <c r="F109" s="146">
        <f>ROUND(E109/C109*G205,3)</f>
        <v/>
      </c>
      <c r="G109" s="144" t="inlineStr">
        <is>
          <t>有参转录组（RNA-seq）</t>
        </is>
      </c>
      <c r="H109" s="144" t="inlineStr">
        <is>
          <t>广州奥智生物科技有限公司</t>
        </is>
      </c>
      <c r="I109" s="146" t="n"/>
      <c r="J109" s="144" t="n"/>
      <c r="K109" s="144" t="inlineStr">
        <is>
          <t>26.7.28-3_A10</t>
        </is>
      </c>
      <c r="L109" s="147" t="n"/>
      <c r="M109" s="147" t="n"/>
      <c r="N109" s="147" t="n">
        <v>70.497</v>
      </c>
      <c r="O109" s="147" t="inlineStr">
        <is>
          <t>Illumina Truseq文库</t>
        </is>
      </c>
      <c r="P109" s="147" t="inlineStr">
        <is>
          <t>未磷酸化</t>
        </is>
      </c>
      <c r="Q109" s="147" t="inlineStr">
        <is>
          <t>未环化</t>
        </is>
      </c>
      <c r="R109" s="147" t="inlineStr">
        <is>
          <t>A</t>
        </is>
      </c>
      <c r="S109" s="147" t="n"/>
    </row>
    <row r="110" ht="30" customHeight="1" s="76">
      <c r="A110" s="152" t="n"/>
      <c r="B110" s="144" t="inlineStr">
        <is>
          <t>HGC-Lib-26097216</t>
        </is>
      </c>
      <c r="C110" s="144" t="n">
        <v>66.91500000000001</v>
      </c>
      <c r="D110" s="145" t="n">
        <v>5</v>
      </c>
      <c r="E110" s="146">
        <f>ROUND(D110/SUM(D96:D204)*IF(C110="",50,50.0),3)</f>
        <v/>
      </c>
      <c r="F110" s="146">
        <f>ROUND(E110/C110*G205,3)</f>
        <v/>
      </c>
      <c r="G110" s="144" t="inlineStr">
        <is>
          <t>有参转录组（RNA-seq）</t>
        </is>
      </c>
      <c r="H110" s="144" t="inlineStr">
        <is>
          <t>广州奥智生物科技有限公司</t>
        </is>
      </c>
      <c r="I110" s="146" t="n"/>
      <c r="J110" s="144" t="n"/>
      <c r="K110" s="144" t="inlineStr">
        <is>
          <t>26.7.28-3_A11</t>
        </is>
      </c>
      <c r="L110" s="147" t="n"/>
      <c r="M110" s="147" t="n"/>
      <c r="N110" s="147" t="n">
        <v>66.91500000000001</v>
      </c>
      <c r="O110" s="147" t="inlineStr">
        <is>
          <t>Illumina Truseq文库</t>
        </is>
      </c>
      <c r="P110" s="147" t="inlineStr">
        <is>
          <t>未磷酸化</t>
        </is>
      </c>
      <c r="Q110" s="147" t="inlineStr">
        <is>
          <t>未环化</t>
        </is>
      </c>
      <c r="R110" s="147" t="inlineStr">
        <is>
          <t>A</t>
        </is>
      </c>
      <c r="S110" s="147" t="n"/>
    </row>
    <row r="111" ht="30" customHeight="1" s="76">
      <c r="A111" s="152" t="n"/>
      <c r="B111" s="144" t="inlineStr">
        <is>
          <t>HGC-Lib-26097217</t>
        </is>
      </c>
      <c r="C111" s="144" t="n">
        <v>70.605</v>
      </c>
      <c r="D111" s="145" t="n">
        <v>5</v>
      </c>
      <c r="E111" s="146">
        <f>ROUND(D111/SUM(D96:D204)*IF(C111="",50,50.0),3)</f>
        <v/>
      </c>
      <c r="F111" s="146">
        <f>ROUND(E111/C111*G205,3)</f>
        <v/>
      </c>
      <c r="G111" s="144" t="inlineStr">
        <is>
          <t>有参转录组（RNA-seq）</t>
        </is>
      </c>
      <c r="H111" s="144" t="inlineStr">
        <is>
          <t>广州奥智生物科技有限公司</t>
        </is>
      </c>
      <c r="I111" s="146" t="n"/>
      <c r="J111" s="144" t="n"/>
      <c r="K111" s="144" t="inlineStr">
        <is>
          <t>26.7.28-3_A12</t>
        </is>
      </c>
      <c r="L111" s="147" t="n"/>
      <c r="M111" s="147" t="n"/>
      <c r="N111" s="147" t="n">
        <v>70.605</v>
      </c>
      <c r="O111" s="147" t="inlineStr">
        <is>
          <t>Illumina Truseq文库</t>
        </is>
      </c>
      <c r="P111" s="147" t="inlineStr">
        <is>
          <t>未磷酸化</t>
        </is>
      </c>
      <c r="Q111" s="147" t="inlineStr">
        <is>
          <t>未环化</t>
        </is>
      </c>
      <c r="R111" s="147" t="inlineStr">
        <is>
          <t>A</t>
        </is>
      </c>
      <c r="S111" s="147" t="n"/>
    </row>
    <row r="112" ht="30" customHeight="1" s="76">
      <c r="A112" s="152" t="n"/>
      <c r="B112" s="144" t="inlineStr">
        <is>
          <t>HGC-Lib-26097218</t>
        </is>
      </c>
      <c r="C112" s="144" t="n">
        <v>73.881</v>
      </c>
      <c r="D112" s="145" t="n">
        <v>5</v>
      </c>
      <c r="E112" s="146">
        <f>ROUND(D112/SUM(D96:D204)*IF(C112="",50,50.0),3)</f>
        <v/>
      </c>
      <c r="F112" s="146">
        <f>ROUND(E112/C112*G205,3)</f>
        <v/>
      </c>
      <c r="G112" s="144" t="inlineStr">
        <is>
          <t>有参转录组（RNA-seq）</t>
        </is>
      </c>
      <c r="H112" s="144" t="inlineStr">
        <is>
          <t>广州奥智生物科技有限公司</t>
        </is>
      </c>
      <c r="I112" s="146" t="n"/>
      <c r="J112" s="144" t="n"/>
      <c r="K112" s="144" t="inlineStr">
        <is>
          <t>26.7.28-3_B1</t>
        </is>
      </c>
      <c r="L112" s="147" t="n"/>
      <c r="M112" s="147" t="n"/>
      <c r="N112" s="147" t="n">
        <v>73.881</v>
      </c>
      <c r="O112" s="147" t="inlineStr">
        <is>
          <t>Illumina Truseq文库</t>
        </is>
      </c>
      <c r="P112" s="147" t="inlineStr">
        <is>
          <t>未磷酸化</t>
        </is>
      </c>
      <c r="Q112" s="147" t="inlineStr">
        <is>
          <t>未环化</t>
        </is>
      </c>
      <c r="R112" s="147" t="inlineStr">
        <is>
          <t>A</t>
        </is>
      </c>
      <c r="S112" s="147" t="n"/>
    </row>
    <row r="113" ht="30" customHeight="1" s="76">
      <c r="A113" s="152" t="n"/>
      <c r="B113" s="144" t="inlineStr">
        <is>
          <t>HGC-Lib-26097219</t>
        </is>
      </c>
      <c r="C113" s="144" t="n">
        <v>67.932</v>
      </c>
      <c r="D113" s="145" t="n">
        <v>5</v>
      </c>
      <c r="E113" s="146">
        <f>ROUND(D113/SUM(D96:D204)*IF(C113="",50,50.0),3)</f>
        <v/>
      </c>
      <c r="F113" s="146">
        <f>ROUND(E113/C113*G205,3)</f>
        <v/>
      </c>
      <c r="G113" s="144" t="inlineStr">
        <is>
          <t>有参转录组（RNA-seq）</t>
        </is>
      </c>
      <c r="H113" s="144" t="inlineStr">
        <is>
          <t>广州奥智生物科技有限公司</t>
        </is>
      </c>
      <c r="I113" s="146" t="n"/>
      <c r="J113" s="144" t="n"/>
      <c r="K113" s="144" t="inlineStr">
        <is>
          <t>26.7.28-3_B2</t>
        </is>
      </c>
      <c r="L113" s="147" t="n"/>
      <c r="M113" s="147" t="n"/>
      <c r="N113" s="147" t="n">
        <v>67.932</v>
      </c>
      <c r="O113" s="147" t="inlineStr">
        <is>
          <t>Illumina Truseq文库</t>
        </is>
      </c>
      <c r="P113" s="147" t="inlineStr">
        <is>
          <t>未磷酸化</t>
        </is>
      </c>
      <c r="Q113" s="147" t="inlineStr">
        <is>
          <t>未环化</t>
        </is>
      </c>
      <c r="R113" s="147" t="inlineStr">
        <is>
          <t>A</t>
        </is>
      </c>
      <c r="S113" s="147" t="n"/>
    </row>
    <row r="114" ht="30" customHeight="1" s="76">
      <c r="A114" s="152" t="n"/>
      <c r="B114" s="144" t="inlineStr">
        <is>
          <t>HGC-Lib-26097220</t>
        </is>
      </c>
      <c r="C114" s="144" t="n">
        <v>68.40000000000001</v>
      </c>
      <c r="D114" s="145" t="n">
        <v>5</v>
      </c>
      <c r="E114" s="146">
        <f>ROUND(D114/SUM(D96:D204)*IF(C114="",50,50.0),3)</f>
        <v/>
      </c>
      <c r="F114" s="146">
        <f>ROUND(E114/C114*G205,3)</f>
        <v/>
      </c>
      <c r="G114" s="144" t="inlineStr">
        <is>
          <t>有参转录组（RNA-seq）</t>
        </is>
      </c>
      <c r="H114" s="144" t="inlineStr">
        <is>
          <t>广州奥智生物科技有限公司</t>
        </is>
      </c>
      <c r="I114" s="146" t="n"/>
      <c r="J114" s="144" t="n"/>
      <c r="K114" s="144" t="inlineStr">
        <is>
          <t>26.7.28-3_B3</t>
        </is>
      </c>
      <c r="L114" s="147" t="n"/>
      <c r="M114" s="147" t="n"/>
      <c r="N114" s="147" t="n">
        <v>68.40000000000001</v>
      </c>
      <c r="O114" s="147" t="inlineStr">
        <is>
          <t>Illumina Truseq文库</t>
        </is>
      </c>
      <c r="P114" s="147" t="inlineStr">
        <is>
          <t>未磷酸化</t>
        </is>
      </c>
      <c r="Q114" s="147" t="inlineStr">
        <is>
          <t>未环化</t>
        </is>
      </c>
      <c r="R114" s="147" t="inlineStr">
        <is>
          <t>A</t>
        </is>
      </c>
      <c r="S114" s="147" t="n"/>
    </row>
    <row r="115" ht="30" customHeight="1" s="76">
      <c r="A115" s="152" t="n"/>
      <c r="B115" s="144" t="inlineStr">
        <is>
          <t>HGC-Lib-26097221</t>
        </is>
      </c>
      <c r="C115" s="144" t="n">
        <v>43.137</v>
      </c>
      <c r="D115" s="145" t="n">
        <v>5</v>
      </c>
      <c r="E115" s="146">
        <f>ROUND(D115/SUM(D96:D204)*IF(C115="",50,50.0),3)</f>
        <v/>
      </c>
      <c r="F115" s="146">
        <f>ROUND(E115/C115*G205,3)</f>
        <v/>
      </c>
      <c r="G115" s="144" t="inlineStr">
        <is>
          <t>有参转录组（RNA-seq）</t>
        </is>
      </c>
      <c r="H115" s="144" t="inlineStr">
        <is>
          <t>广州奥智生物科技有限公司</t>
        </is>
      </c>
      <c r="I115" s="146" t="n"/>
      <c r="J115" s="144" t="n"/>
      <c r="K115" s="144" t="inlineStr">
        <is>
          <t>26.7.28-3_B4</t>
        </is>
      </c>
      <c r="L115" s="147" t="n"/>
      <c r="M115" s="147" t="n"/>
      <c r="N115" s="147" t="n">
        <v>43.137</v>
      </c>
      <c r="O115" s="147" t="inlineStr">
        <is>
          <t>Illumina Truseq文库</t>
        </is>
      </c>
      <c r="P115" s="147" t="inlineStr">
        <is>
          <t>未磷酸化</t>
        </is>
      </c>
      <c r="Q115" s="147" t="inlineStr">
        <is>
          <t>未环化</t>
        </is>
      </c>
      <c r="R115" s="147" t="inlineStr">
        <is>
          <t>A</t>
        </is>
      </c>
      <c r="S115" s="147" t="n"/>
    </row>
    <row r="116" ht="30" customHeight="1" s="76">
      <c r="A116" s="152" t="n"/>
      <c r="B116" s="144" t="inlineStr">
        <is>
          <t>HGC-Lib-26097222</t>
        </is>
      </c>
      <c r="C116" s="144" t="n">
        <v>50.796</v>
      </c>
      <c r="D116" s="145" t="n">
        <v>5</v>
      </c>
      <c r="E116" s="146">
        <f>ROUND(D116/SUM(D96:D204)*IF(C116="",50,50.0),3)</f>
        <v/>
      </c>
      <c r="F116" s="146">
        <f>ROUND(E116/C116*G205,3)</f>
        <v/>
      </c>
      <c r="G116" s="144" t="inlineStr">
        <is>
          <t>有参转录组（RNA-seq）</t>
        </is>
      </c>
      <c r="H116" s="144" t="inlineStr">
        <is>
          <t>广州奥智生物科技有限公司</t>
        </is>
      </c>
      <c r="I116" s="146" t="n"/>
      <c r="J116" s="144" t="n"/>
      <c r="K116" s="144" t="inlineStr">
        <is>
          <t>26.7.28-3_B5</t>
        </is>
      </c>
      <c r="L116" s="147" t="n"/>
      <c r="M116" s="147" t="n"/>
      <c r="N116" s="147" t="n">
        <v>50.796</v>
      </c>
      <c r="O116" s="147" t="inlineStr">
        <is>
          <t>Illumina Truseq文库</t>
        </is>
      </c>
      <c r="P116" s="147" t="inlineStr">
        <is>
          <t>未磷酸化</t>
        </is>
      </c>
      <c r="Q116" s="147" t="inlineStr">
        <is>
          <t>未环化</t>
        </is>
      </c>
      <c r="R116" s="147" t="inlineStr">
        <is>
          <t>A</t>
        </is>
      </c>
      <c r="S116" s="147" t="n"/>
    </row>
    <row r="117" ht="30" customHeight="1" s="76">
      <c r="A117" s="152" t="n"/>
      <c r="B117" s="144" t="inlineStr">
        <is>
          <t>HGC-Lib-26097223</t>
        </is>
      </c>
      <c r="C117" s="144" t="n">
        <v>49.581</v>
      </c>
      <c r="D117" s="145" t="n">
        <v>5</v>
      </c>
      <c r="E117" s="146">
        <f>ROUND(D117/SUM(D96:D204)*IF(C117="",50,50.0),3)</f>
        <v/>
      </c>
      <c r="F117" s="146">
        <f>ROUND(E117/C117*G205,3)</f>
        <v/>
      </c>
      <c r="G117" s="144" t="inlineStr">
        <is>
          <t>有参转录组（RNA-seq）</t>
        </is>
      </c>
      <c r="H117" s="144" t="inlineStr">
        <is>
          <t>广州奥智生物科技有限公司</t>
        </is>
      </c>
      <c r="I117" s="146" t="n"/>
      <c r="J117" s="144" t="n"/>
      <c r="K117" s="144" t="inlineStr">
        <is>
          <t>26.7.28-3_B6</t>
        </is>
      </c>
      <c r="L117" s="147" t="n"/>
      <c r="M117" s="147" t="n"/>
      <c r="N117" s="147" t="n">
        <v>49.581</v>
      </c>
      <c r="O117" s="147" t="inlineStr">
        <is>
          <t>Illumina Truseq文库</t>
        </is>
      </c>
      <c r="P117" s="147" t="inlineStr">
        <is>
          <t>未磷酸化</t>
        </is>
      </c>
      <c r="Q117" s="147" t="inlineStr">
        <is>
          <t>未环化</t>
        </is>
      </c>
      <c r="R117" s="147" t="inlineStr">
        <is>
          <t>A</t>
        </is>
      </c>
      <c r="S117" s="147" t="n"/>
    </row>
    <row r="118" ht="30" customHeight="1" s="76">
      <c r="A118" s="152" t="n"/>
      <c r="B118" s="144" t="inlineStr">
        <is>
          <t>HGC-Lib-26097224</t>
        </is>
      </c>
      <c r="C118" s="144" t="n">
        <v>73.746</v>
      </c>
      <c r="D118" s="145" t="n">
        <v>5</v>
      </c>
      <c r="E118" s="146">
        <f>ROUND(D118/SUM(D96:D204)*IF(C118="",50,50.0),3)</f>
        <v/>
      </c>
      <c r="F118" s="146">
        <f>ROUND(E118/C118*G205,3)</f>
        <v/>
      </c>
      <c r="G118" s="144" t="inlineStr">
        <is>
          <t>有参转录组（RNA-seq）</t>
        </is>
      </c>
      <c r="H118" s="144" t="inlineStr">
        <is>
          <t>广州奥智生物科技有限公司</t>
        </is>
      </c>
      <c r="I118" s="146" t="n"/>
      <c r="J118" s="144" t="n"/>
      <c r="K118" s="144" t="inlineStr">
        <is>
          <t>26.7.28-3_B7</t>
        </is>
      </c>
      <c r="L118" s="147" t="n"/>
      <c r="M118" s="147" t="n"/>
      <c r="N118" s="147" t="n">
        <v>73.746</v>
      </c>
      <c r="O118" s="147" t="inlineStr">
        <is>
          <t>Illumina Truseq文库</t>
        </is>
      </c>
      <c r="P118" s="147" t="inlineStr">
        <is>
          <t>未磷酸化</t>
        </is>
      </c>
      <c r="Q118" s="147" t="inlineStr">
        <is>
          <t>未环化</t>
        </is>
      </c>
      <c r="R118" s="147" t="inlineStr">
        <is>
          <t>A</t>
        </is>
      </c>
      <c r="S118" s="147" t="n"/>
    </row>
    <row r="119" ht="30" customHeight="1" s="76">
      <c r="A119" s="152" t="n"/>
      <c r="B119" s="144" t="inlineStr">
        <is>
          <t>HGC-Lib-26097225</t>
        </is>
      </c>
      <c r="C119" s="144" t="n">
        <v>82.908</v>
      </c>
      <c r="D119" s="145" t="n">
        <v>5</v>
      </c>
      <c r="E119" s="146">
        <f>ROUND(D119/SUM(D96:D204)*IF(C119="",50,50.0),3)</f>
        <v/>
      </c>
      <c r="F119" s="146">
        <f>ROUND(E119/C119*G205,3)</f>
        <v/>
      </c>
      <c r="G119" s="144" t="inlineStr">
        <is>
          <t>有参转录组（RNA-seq）</t>
        </is>
      </c>
      <c r="H119" s="144" t="inlineStr">
        <is>
          <t>广州奥智生物科技有限公司</t>
        </is>
      </c>
      <c r="I119" s="146" t="n"/>
      <c r="J119" s="144" t="n"/>
      <c r="K119" s="144" t="inlineStr">
        <is>
          <t>26.7.28-3_B8</t>
        </is>
      </c>
      <c r="L119" s="147" t="n"/>
      <c r="M119" s="147" t="n"/>
      <c r="N119" s="147" t="n">
        <v>82.908</v>
      </c>
      <c r="O119" s="147" t="inlineStr">
        <is>
          <t>Illumina Truseq文库</t>
        </is>
      </c>
      <c r="P119" s="147" t="inlineStr">
        <is>
          <t>未磷酸化</t>
        </is>
      </c>
      <c r="Q119" s="147" t="inlineStr">
        <is>
          <t>未环化</t>
        </is>
      </c>
      <c r="R119" s="147" t="inlineStr">
        <is>
          <t>A</t>
        </is>
      </c>
      <c r="S119" s="147" t="n"/>
    </row>
    <row r="120" ht="30" customHeight="1" s="76">
      <c r="A120" s="152" t="n"/>
      <c r="B120" s="144" t="inlineStr">
        <is>
          <t>HGC-Lib-26097226</t>
        </is>
      </c>
      <c r="C120" s="144" t="n">
        <v>45.297</v>
      </c>
      <c r="D120" s="145" t="n">
        <v>5</v>
      </c>
      <c r="E120" s="146">
        <f>ROUND(D120/SUM(D96:D204)*IF(C120="",50,50.0),3)</f>
        <v/>
      </c>
      <c r="F120" s="146">
        <f>ROUND(E120/C120*G205,3)</f>
        <v/>
      </c>
      <c r="G120" s="144" t="inlineStr">
        <is>
          <t>有参转录组（RNA-seq）</t>
        </is>
      </c>
      <c r="H120" s="144" t="inlineStr">
        <is>
          <t>广州奥智生物科技有限公司</t>
        </is>
      </c>
      <c r="I120" s="146" t="n"/>
      <c r="J120" s="144" t="n"/>
      <c r="K120" s="144" t="inlineStr">
        <is>
          <t>26.7.28-3_B9</t>
        </is>
      </c>
      <c r="L120" s="147" t="n"/>
      <c r="M120" s="147" t="n"/>
      <c r="N120" s="147" t="n">
        <v>45.297</v>
      </c>
      <c r="O120" s="147" t="inlineStr">
        <is>
          <t>Illumina Truseq文库</t>
        </is>
      </c>
      <c r="P120" s="147" t="inlineStr">
        <is>
          <t>未磷酸化</t>
        </is>
      </c>
      <c r="Q120" s="147" t="inlineStr">
        <is>
          <t>未环化</t>
        </is>
      </c>
      <c r="R120" s="147" t="inlineStr">
        <is>
          <t>A</t>
        </is>
      </c>
      <c r="S120" s="147" t="n"/>
    </row>
    <row r="121" ht="30" customHeight="1" s="76">
      <c r="A121" s="152" t="n"/>
      <c r="B121" s="144" t="inlineStr">
        <is>
          <t>HGC-Lib-26097227</t>
        </is>
      </c>
      <c r="C121" s="144" t="n">
        <v>64.08</v>
      </c>
      <c r="D121" s="145" t="n">
        <v>5</v>
      </c>
      <c r="E121" s="146">
        <f>ROUND(D121/SUM(D96:D204)*IF(C121="",50,50.0),3)</f>
        <v/>
      </c>
      <c r="F121" s="146">
        <f>ROUND(E121/C121*G205,3)</f>
        <v/>
      </c>
      <c r="G121" s="144" t="inlineStr">
        <is>
          <t>有参转录组（RNA-seq）</t>
        </is>
      </c>
      <c r="H121" s="144" t="inlineStr">
        <is>
          <t>广州奥智生物科技有限公司</t>
        </is>
      </c>
      <c r="I121" s="146" t="n"/>
      <c r="J121" s="144" t="n"/>
      <c r="K121" s="144" t="inlineStr">
        <is>
          <t>26.7.28-3_B10</t>
        </is>
      </c>
      <c r="L121" s="147" t="n"/>
      <c r="M121" s="147" t="n"/>
      <c r="N121" s="147" t="n">
        <v>64.08</v>
      </c>
      <c r="O121" s="147" t="inlineStr">
        <is>
          <t>Illumina Truseq文库</t>
        </is>
      </c>
      <c r="P121" s="147" t="inlineStr">
        <is>
          <t>未磷酸化</t>
        </is>
      </c>
      <c r="Q121" s="147" t="inlineStr">
        <is>
          <t>未环化</t>
        </is>
      </c>
      <c r="R121" s="147" t="inlineStr">
        <is>
          <t>A</t>
        </is>
      </c>
      <c r="S121" s="147" t="n"/>
    </row>
    <row r="122" ht="30" customHeight="1" s="76">
      <c r="A122" s="152" t="n"/>
      <c r="B122" s="144" t="inlineStr">
        <is>
          <t>HGC-Lib-26097228</t>
        </is>
      </c>
      <c r="C122" s="144" t="n">
        <v>29.16</v>
      </c>
      <c r="D122" s="145" t="n">
        <v>5</v>
      </c>
      <c r="E122" s="146">
        <f>ROUND(D122/SUM(D96:D204)*IF(C122="",50,50.0),3)</f>
        <v/>
      </c>
      <c r="F122" s="146">
        <f>ROUND(E122/C122*G205,3)</f>
        <v/>
      </c>
      <c r="G122" s="144" t="inlineStr">
        <is>
          <t>有参转录组（RNA-seq）</t>
        </is>
      </c>
      <c r="H122" s="144" t="inlineStr">
        <is>
          <t>广州奥智生物科技有限公司</t>
        </is>
      </c>
      <c r="I122" s="146" t="n"/>
      <c r="J122" s="144" t="n"/>
      <c r="K122" s="144" t="inlineStr">
        <is>
          <t>26.7.28-3_B11</t>
        </is>
      </c>
      <c r="L122" s="147" t="n"/>
      <c r="M122" s="147" t="n"/>
      <c r="N122" s="147" t="n">
        <v>29.16</v>
      </c>
      <c r="O122" s="147" t="inlineStr">
        <is>
          <t>Illumina Truseq文库</t>
        </is>
      </c>
      <c r="P122" s="147" t="inlineStr">
        <is>
          <t>未磷酸化</t>
        </is>
      </c>
      <c r="Q122" s="147" t="inlineStr">
        <is>
          <t>未环化</t>
        </is>
      </c>
      <c r="R122" s="147" t="inlineStr">
        <is>
          <t>A</t>
        </is>
      </c>
      <c r="S122" s="147" t="n"/>
    </row>
    <row r="123" ht="30" customHeight="1" s="76">
      <c r="A123" s="152" t="n"/>
      <c r="B123" s="144" t="inlineStr">
        <is>
          <t>HGC-Lib-26097229</t>
        </is>
      </c>
      <c r="C123" s="144" t="n">
        <v>69.3</v>
      </c>
      <c r="D123" s="145" t="n">
        <v>5</v>
      </c>
      <c r="E123" s="146">
        <f>ROUND(D123/SUM(D96:D204)*IF(C123="",50,50.0),3)</f>
        <v/>
      </c>
      <c r="F123" s="146">
        <f>ROUND(E123/C123*G205,3)</f>
        <v/>
      </c>
      <c r="G123" s="144" t="inlineStr">
        <is>
          <t>有参转录组（RNA-seq）</t>
        </is>
      </c>
      <c r="H123" s="144" t="inlineStr">
        <is>
          <t>广州奥智生物科技有限公司</t>
        </is>
      </c>
      <c r="I123" s="146" t="n"/>
      <c r="J123" s="144" t="n"/>
      <c r="K123" s="144" t="inlineStr">
        <is>
          <t>26.7.28-3_B12</t>
        </is>
      </c>
      <c r="L123" s="147" t="n"/>
      <c r="M123" s="147" t="n"/>
      <c r="N123" s="147" t="n">
        <v>69.3</v>
      </c>
      <c r="O123" s="147" t="inlineStr">
        <is>
          <t>Illumina Truseq文库</t>
        </is>
      </c>
      <c r="P123" s="147" t="inlineStr">
        <is>
          <t>未磷酸化</t>
        </is>
      </c>
      <c r="Q123" s="147" t="inlineStr">
        <is>
          <t>未环化</t>
        </is>
      </c>
      <c r="R123" s="147" t="inlineStr">
        <is>
          <t>A</t>
        </is>
      </c>
      <c r="S123" s="147" t="n"/>
    </row>
    <row r="124" ht="30" customHeight="1" s="76">
      <c r="A124" s="152" t="n"/>
      <c r="B124" s="144" t="inlineStr">
        <is>
          <t>HGC-Lib-26097230</t>
        </is>
      </c>
      <c r="C124" s="144" t="n">
        <v>62.964</v>
      </c>
      <c r="D124" s="145" t="n">
        <v>5</v>
      </c>
      <c r="E124" s="146">
        <f>ROUND(D124/SUM(D96:D204)*IF(C124="",50,50.0),3)</f>
        <v/>
      </c>
      <c r="F124" s="146">
        <f>ROUND(E124/C124*G205,3)</f>
        <v/>
      </c>
      <c r="G124" s="144" t="inlineStr">
        <is>
          <t>有参转录组（RNA-seq）</t>
        </is>
      </c>
      <c r="H124" s="144" t="inlineStr">
        <is>
          <t>广州奥智生物科技有限公司</t>
        </is>
      </c>
      <c r="I124" s="146" t="n"/>
      <c r="J124" s="144" t="n"/>
      <c r="K124" s="144" t="inlineStr">
        <is>
          <t>26.7.28-3_D1</t>
        </is>
      </c>
      <c r="L124" s="147" t="n"/>
      <c r="M124" s="147" t="n"/>
      <c r="N124" s="147" t="n">
        <v>62.964</v>
      </c>
      <c r="O124" s="147" t="inlineStr">
        <is>
          <t>Illumina Truseq文库</t>
        </is>
      </c>
      <c r="P124" s="147" t="inlineStr">
        <is>
          <t>未磷酸化</t>
        </is>
      </c>
      <c r="Q124" s="147" t="inlineStr">
        <is>
          <t>未环化</t>
        </is>
      </c>
      <c r="R124" s="147" t="inlineStr">
        <is>
          <t>A</t>
        </is>
      </c>
      <c r="S124" s="147" t="n"/>
    </row>
    <row r="125" ht="30" customHeight="1" s="76">
      <c r="A125" s="152" t="n"/>
      <c r="B125" s="144" t="inlineStr">
        <is>
          <t>HGC-Lib-26097231</t>
        </is>
      </c>
      <c r="C125" s="144" t="n">
        <v>39.942</v>
      </c>
      <c r="D125" s="145" t="n">
        <v>5</v>
      </c>
      <c r="E125" s="146">
        <f>ROUND(D125/SUM(D96:D204)*IF(C125="",50,50.0),3)</f>
        <v/>
      </c>
      <c r="F125" s="146">
        <f>ROUND(E125/C125*G205,3)</f>
        <v/>
      </c>
      <c r="G125" s="144" t="inlineStr">
        <is>
          <t>有参转录组（RNA-seq）</t>
        </is>
      </c>
      <c r="H125" s="144" t="inlineStr">
        <is>
          <t>广州奥智生物科技有限公司</t>
        </is>
      </c>
      <c r="I125" s="146" t="n"/>
      <c r="J125" s="144" t="n"/>
      <c r="K125" s="144" t="inlineStr">
        <is>
          <t>26.7.28-3_D2</t>
        </is>
      </c>
      <c r="L125" s="147" t="n"/>
      <c r="M125" s="147" t="n"/>
      <c r="N125" s="147" t="n">
        <v>39.942</v>
      </c>
      <c r="O125" s="147" t="inlineStr">
        <is>
          <t>Illumina Truseq文库</t>
        </is>
      </c>
      <c r="P125" s="147" t="inlineStr">
        <is>
          <t>未磷酸化</t>
        </is>
      </c>
      <c r="Q125" s="147" t="inlineStr">
        <is>
          <t>未环化</t>
        </is>
      </c>
      <c r="R125" s="147" t="inlineStr">
        <is>
          <t>A</t>
        </is>
      </c>
      <c r="S125" s="147" t="n"/>
    </row>
    <row r="126" ht="30" customHeight="1" s="76">
      <c r="A126" s="152" t="n"/>
      <c r="B126" s="144" t="inlineStr">
        <is>
          <t>HGC-Lib-26097232</t>
        </is>
      </c>
      <c r="C126" s="144" t="n">
        <v>42.399</v>
      </c>
      <c r="D126" s="145" t="n">
        <v>5</v>
      </c>
      <c r="E126" s="146">
        <f>ROUND(D126/SUM(D96:D204)*IF(C126="",50,50.0),3)</f>
        <v/>
      </c>
      <c r="F126" s="146">
        <f>ROUND(E126/C126*G205,3)</f>
        <v/>
      </c>
      <c r="G126" s="144" t="inlineStr">
        <is>
          <t>有参转录组（RNA-seq）</t>
        </is>
      </c>
      <c r="H126" s="144" t="inlineStr">
        <is>
          <t>广州奥智生物科技有限公司</t>
        </is>
      </c>
      <c r="I126" s="146" t="n"/>
      <c r="J126" s="144" t="n"/>
      <c r="K126" s="144" t="inlineStr">
        <is>
          <t>26.7.28-3_D3</t>
        </is>
      </c>
      <c r="L126" s="147" t="n"/>
      <c r="M126" s="147" t="n"/>
      <c r="N126" s="147" t="n">
        <v>42.399</v>
      </c>
      <c r="O126" s="147" t="inlineStr">
        <is>
          <t>Illumina Truseq文库</t>
        </is>
      </c>
      <c r="P126" s="147" t="inlineStr">
        <is>
          <t>未磷酸化</t>
        </is>
      </c>
      <c r="Q126" s="147" t="inlineStr">
        <is>
          <t>未环化</t>
        </is>
      </c>
      <c r="R126" s="147" t="inlineStr">
        <is>
          <t>A</t>
        </is>
      </c>
      <c r="S126" s="147" t="n"/>
    </row>
    <row r="127" ht="30" customHeight="1" s="76">
      <c r="A127" s="152" t="n"/>
      <c r="B127" s="144" t="inlineStr">
        <is>
          <t>HGC-Lib-26097233</t>
        </is>
      </c>
      <c r="C127" s="144" t="n">
        <v>58.122</v>
      </c>
      <c r="D127" s="145" t="n">
        <v>5</v>
      </c>
      <c r="E127" s="146">
        <f>ROUND(D127/SUM(D96:D204)*IF(C127="",50,50.0),3)</f>
        <v/>
      </c>
      <c r="F127" s="146">
        <f>ROUND(E127/C127*G205,3)</f>
        <v/>
      </c>
      <c r="G127" s="144" t="inlineStr">
        <is>
          <t>有参转录组（RNA-seq）</t>
        </is>
      </c>
      <c r="H127" s="144" t="inlineStr">
        <is>
          <t>广州奥智生物科技有限公司</t>
        </is>
      </c>
      <c r="I127" s="146" t="n"/>
      <c r="J127" s="144" t="n"/>
      <c r="K127" s="144" t="inlineStr">
        <is>
          <t>26.7.28-3_D4</t>
        </is>
      </c>
      <c r="L127" s="147" t="n"/>
      <c r="M127" s="147" t="n"/>
      <c r="N127" s="147" t="n">
        <v>58.122</v>
      </c>
      <c r="O127" s="147" t="inlineStr">
        <is>
          <t>Illumina Truseq文库</t>
        </is>
      </c>
      <c r="P127" s="147" t="inlineStr">
        <is>
          <t>未磷酸化</t>
        </is>
      </c>
      <c r="Q127" s="147" t="inlineStr">
        <is>
          <t>未环化</t>
        </is>
      </c>
      <c r="R127" s="147" t="inlineStr">
        <is>
          <t>A</t>
        </is>
      </c>
      <c r="S127" s="147" t="n"/>
    </row>
    <row r="128" ht="30" customHeight="1" s="76">
      <c r="A128" s="152" t="n"/>
      <c r="B128" s="144" t="inlineStr">
        <is>
          <t>HGC-Lib-26097234</t>
        </is>
      </c>
      <c r="C128" s="144" t="n">
        <v>62.172</v>
      </c>
      <c r="D128" s="145" t="n">
        <v>5</v>
      </c>
      <c r="E128" s="146">
        <f>ROUND(D128/SUM(D96:D204)*IF(C128="",50,50.0),3)</f>
        <v/>
      </c>
      <c r="F128" s="146">
        <f>ROUND(E128/C128*G205,3)</f>
        <v/>
      </c>
      <c r="G128" s="144" t="inlineStr">
        <is>
          <t>有参转录组（RNA-seq）</t>
        </is>
      </c>
      <c r="H128" s="144" t="inlineStr">
        <is>
          <t>广州奥智生物科技有限公司</t>
        </is>
      </c>
      <c r="I128" s="146" t="n"/>
      <c r="J128" s="144" t="n"/>
      <c r="K128" s="144" t="inlineStr">
        <is>
          <t>26.7.28-3_D5</t>
        </is>
      </c>
      <c r="L128" s="147" t="n"/>
      <c r="M128" s="147" t="n"/>
      <c r="N128" s="147" t="n">
        <v>62.172</v>
      </c>
      <c r="O128" s="147" t="inlineStr">
        <is>
          <t>Illumina Truseq文库</t>
        </is>
      </c>
      <c r="P128" s="147" t="inlineStr">
        <is>
          <t>未磷酸化</t>
        </is>
      </c>
      <c r="Q128" s="147" t="inlineStr">
        <is>
          <t>未环化</t>
        </is>
      </c>
      <c r="R128" s="147" t="inlineStr">
        <is>
          <t>A</t>
        </is>
      </c>
      <c r="S128" s="147" t="n"/>
    </row>
    <row r="129" ht="30" customHeight="1" s="76">
      <c r="A129" s="152" t="n"/>
      <c r="B129" s="144" t="inlineStr">
        <is>
          <t>HGC-Lib-26097235</t>
        </is>
      </c>
      <c r="C129" s="144" t="n">
        <v>37.71</v>
      </c>
      <c r="D129" s="145" t="n">
        <v>5</v>
      </c>
      <c r="E129" s="146">
        <f>ROUND(D129/SUM(D96:D204)*IF(C129="",50,50.0),3)</f>
        <v/>
      </c>
      <c r="F129" s="146">
        <f>ROUND(E129/C129*G205,3)</f>
        <v/>
      </c>
      <c r="G129" s="144" t="inlineStr">
        <is>
          <t>有参转录组（RNA-seq）</t>
        </is>
      </c>
      <c r="H129" s="144" t="inlineStr">
        <is>
          <t>广州奥智生物科技有限公司</t>
        </is>
      </c>
      <c r="I129" s="146" t="n"/>
      <c r="J129" s="144" t="n"/>
      <c r="K129" s="144" t="inlineStr">
        <is>
          <t>26.7.28-3_D6</t>
        </is>
      </c>
      <c r="L129" s="147" t="n"/>
      <c r="M129" s="147" t="n"/>
      <c r="N129" s="147" t="n">
        <v>37.71</v>
      </c>
      <c r="O129" s="147" t="inlineStr">
        <is>
          <t>Illumina Truseq文库</t>
        </is>
      </c>
      <c r="P129" s="147" t="inlineStr">
        <is>
          <t>未磷酸化</t>
        </is>
      </c>
      <c r="Q129" s="147" t="inlineStr">
        <is>
          <t>未环化</t>
        </is>
      </c>
      <c r="R129" s="147" t="inlineStr">
        <is>
          <t>A</t>
        </is>
      </c>
      <c r="S129" s="147" t="n"/>
    </row>
    <row r="130" ht="30" customHeight="1" s="76">
      <c r="A130" s="152" t="n"/>
      <c r="B130" s="144" t="inlineStr">
        <is>
          <t>HGC-Lib-26097236</t>
        </is>
      </c>
      <c r="C130" s="144" t="n">
        <v>88.83</v>
      </c>
      <c r="D130" s="145" t="n">
        <v>5</v>
      </c>
      <c r="E130" s="146">
        <f>ROUND(D130/SUM(D96:D204)*IF(C130="",50,50.0),3)</f>
        <v/>
      </c>
      <c r="F130" s="146">
        <f>ROUND(E130/C130*G205,3)</f>
        <v/>
      </c>
      <c r="G130" s="144" t="inlineStr">
        <is>
          <t>有参转录组（RNA-seq）</t>
        </is>
      </c>
      <c r="H130" s="144" t="inlineStr">
        <is>
          <t>广州奥智生物科技有限公司</t>
        </is>
      </c>
      <c r="I130" s="146" t="n"/>
      <c r="J130" s="144" t="n"/>
      <c r="K130" s="144" t="inlineStr">
        <is>
          <t>26.7.28-3_D7</t>
        </is>
      </c>
      <c r="L130" s="147" t="n"/>
      <c r="M130" s="147" t="n"/>
      <c r="N130" s="147" t="n">
        <v>88.83</v>
      </c>
      <c r="O130" s="147" t="inlineStr">
        <is>
          <t>Illumina Truseq文库</t>
        </is>
      </c>
      <c r="P130" s="147" t="inlineStr">
        <is>
          <t>未磷酸化</t>
        </is>
      </c>
      <c r="Q130" s="147" t="inlineStr">
        <is>
          <t>未环化</t>
        </is>
      </c>
      <c r="R130" s="147" t="inlineStr">
        <is>
          <t>A</t>
        </is>
      </c>
      <c r="S130" s="147" t="n"/>
    </row>
    <row r="131" ht="30" customHeight="1" s="76">
      <c r="A131" s="152" t="n"/>
      <c r="B131" s="144" t="inlineStr">
        <is>
          <t>HGC-Lib-26097237</t>
        </is>
      </c>
      <c r="C131" s="144" t="n">
        <v>35.559</v>
      </c>
      <c r="D131" s="145" t="n">
        <v>5</v>
      </c>
      <c r="E131" s="146">
        <f>ROUND(D131/SUM(D96:D204)*IF(C131="",50,50.0),3)</f>
        <v/>
      </c>
      <c r="F131" s="146">
        <f>ROUND(E131/C131*G205,3)</f>
        <v/>
      </c>
      <c r="G131" s="144" t="inlineStr">
        <is>
          <t>有参转录组（RNA-seq）</t>
        </is>
      </c>
      <c r="H131" s="144" t="inlineStr">
        <is>
          <t>广州奥智生物科技有限公司</t>
        </is>
      </c>
      <c r="I131" s="146" t="n"/>
      <c r="J131" s="144" t="n"/>
      <c r="K131" s="144" t="inlineStr">
        <is>
          <t>26.7.28-3_D8</t>
        </is>
      </c>
      <c r="L131" s="147" t="n"/>
      <c r="M131" s="147" t="n"/>
      <c r="N131" s="147" t="n">
        <v>35.559</v>
      </c>
      <c r="O131" s="147" t="inlineStr">
        <is>
          <t>Illumina Truseq文库</t>
        </is>
      </c>
      <c r="P131" s="147" t="inlineStr">
        <is>
          <t>未磷酸化</t>
        </is>
      </c>
      <c r="Q131" s="147" t="inlineStr">
        <is>
          <t>未环化</t>
        </is>
      </c>
      <c r="R131" s="147" t="inlineStr">
        <is>
          <t>A</t>
        </is>
      </c>
      <c r="S131" s="147" t="n"/>
    </row>
    <row r="132" ht="30" customHeight="1" s="76">
      <c r="A132" s="152" t="n"/>
      <c r="B132" s="144" t="inlineStr">
        <is>
          <t>HGC-Lib-26097238</t>
        </is>
      </c>
      <c r="C132" s="144" t="n">
        <v>40.527</v>
      </c>
      <c r="D132" s="145" t="n">
        <v>5</v>
      </c>
      <c r="E132" s="146">
        <f>ROUND(D132/SUM(D96:D204)*IF(C132="",50,50.0),3)</f>
        <v/>
      </c>
      <c r="F132" s="146">
        <f>ROUND(E132/C132*G205,3)</f>
        <v/>
      </c>
      <c r="G132" s="144" t="inlineStr">
        <is>
          <t>有参转录组（RNA-seq）</t>
        </is>
      </c>
      <c r="H132" s="144" t="inlineStr">
        <is>
          <t>广州奥智生物科技有限公司</t>
        </is>
      </c>
      <c r="I132" s="146" t="n"/>
      <c r="J132" s="144" t="n"/>
      <c r="K132" s="144" t="inlineStr">
        <is>
          <t>26.7.28-3_D9</t>
        </is>
      </c>
      <c r="L132" s="147" t="n"/>
      <c r="M132" s="147" t="n"/>
      <c r="N132" s="147" t="n">
        <v>40.527</v>
      </c>
      <c r="O132" s="147" t="inlineStr">
        <is>
          <t>Illumina Truseq文库</t>
        </is>
      </c>
      <c r="P132" s="147" t="inlineStr">
        <is>
          <t>未磷酸化</t>
        </is>
      </c>
      <c r="Q132" s="147" t="inlineStr">
        <is>
          <t>未环化</t>
        </is>
      </c>
      <c r="R132" s="147" t="inlineStr">
        <is>
          <t>A</t>
        </is>
      </c>
      <c r="S132" s="147" t="n"/>
    </row>
    <row r="133" ht="30" customHeight="1" s="76">
      <c r="A133" s="152" t="n"/>
      <c r="B133" s="144" t="inlineStr">
        <is>
          <t>HGC-Lib-26097239</t>
        </is>
      </c>
      <c r="C133" s="144" t="n">
        <v>63.585</v>
      </c>
      <c r="D133" s="145" t="n">
        <v>5</v>
      </c>
      <c r="E133" s="146">
        <f>ROUND(D133/SUM(D96:D204)*IF(C133="",50,50.0),3)</f>
        <v/>
      </c>
      <c r="F133" s="146">
        <f>ROUND(E133/C133*G205,3)</f>
        <v/>
      </c>
      <c r="G133" s="144" t="inlineStr">
        <is>
          <t>有参转录组（RNA-seq）</t>
        </is>
      </c>
      <c r="H133" s="144" t="inlineStr">
        <is>
          <t>广州奥智生物科技有限公司</t>
        </is>
      </c>
      <c r="I133" s="146" t="n"/>
      <c r="J133" s="144" t="n"/>
      <c r="K133" s="144" t="inlineStr">
        <is>
          <t>26.7.28-3_D10</t>
        </is>
      </c>
      <c r="L133" s="147" t="n"/>
      <c r="M133" s="147" t="n"/>
      <c r="N133" s="147" t="n">
        <v>63.585</v>
      </c>
      <c r="O133" s="147" t="inlineStr">
        <is>
          <t>Illumina Truseq文库</t>
        </is>
      </c>
      <c r="P133" s="147" t="inlineStr">
        <is>
          <t>未磷酸化</t>
        </is>
      </c>
      <c r="Q133" s="147" t="inlineStr">
        <is>
          <t>未环化</t>
        </is>
      </c>
      <c r="R133" s="147" t="inlineStr">
        <is>
          <t>A</t>
        </is>
      </c>
      <c r="S133" s="147" t="n"/>
    </row>
    <row r="134" ht="30" customHeight="1" s="76">
      <c r="A134" s="152" t="n"/>
      <c r="B134" s="144" t="inlineStr">
        <is>
          <t>HGC-Lib-26097240</t>
        </is>
      </c>
      <c r="C134" s="144" t="n">
        <v>30.087</v>
      </c>
      <c r="D134" s="145" t="n">
        <v>5</v>
      </c>
      <c r="E134" s="146">
        <f>ROUND(D134/SUM(D96:D204)*IF(C134="",50,50.0),3)</f>
        <v/>
      </c>
      <c r="F134" s="146">
        <f>ROUND(E134/C134*G205,3)</f>
        <v/>
      </c>
      <c r="G134" s="144" t="inlineStr">
        <is>
          <t>有参转录组（RNA-seq）</t>
        </is>
      </c>
      <c r="H134" s="144" t="inlineStr">
        <is>
          <t>广州奥智生物科技有限公司</t>
        </is>
      </c>
      <c r="I134" s="146" t="n"/>
      <c r="J134" s="144" t="n"/>
      <c r="K134" s="144" t="inlineStr">
        <is>
          <t>26.7.28-3_D11</t>
        </is>
      </c>
      <c r="L134" s="147" t="n"/>
      <c r="M134" s="147" t="n"/>
      <c r="N134" s="147" t="n">
        <v>30.087</v>
      </c>
      <c r="O134" s="147" t="inlineStr">
        <is>
          <t>Illumina Truseq文库</t>
        </is>
      </c>
      <c r="P134" s="147" t="inlineStr">
        <is>
          <t>未磷酸化</t>
        </is>
      </c>
      <c r="Q134" s="147" t="inlineStr">
        <is>
          <t>未环化</t>
        </is>
      </c>
      <c r="R134" s="147" t="inlineStr">
        <is>
          <t>A</t>
        </is>
      </c>
      <c r="S134" s="147" t="n"/>
    </row>
    <row r="135" ht="30" customHeight="1" s="76">
      <c r="A135" s="152" t="n"/>
      <c r="B135" s="144" t="inlineStr">
        <is>
          <t>HGC-Lib-26097241</t>
        </is>
      </c>
      <c r="C135" s="144" t="n">
        <v>36.864</v>
      </c>
      <c r="D135" s="145" t="n">
        <v>5</v>
      </c>
      <c r="E135" s="146">
        <f>ROUND(D135/SUM(D96:D204)*IF(C135="",50,50.0),3)</f>
        <v/>
      </c>
      <c r="F135" s="146">
        <f>ROUND(E135/C135*G205,3)</f>
        <v/>
      </c>
      <c r="G135" s="144" t="inlineStr">
        <is>
          <t>有参转录组（RNA-seq）</t>
        </is>
      </c>
      <c r="H135" s="144" t="inlineStr">
        <is>
          <t>广州奥智生物科技有限公司</t>
        </is>
      </c>
      <c r="I135" s="146" t="n"/>
      <c r="J135" s="144" t="n"/>
      <c r="K135" s="144" t="inlineStr">
        <is>
          <t>26.7.28-3_D12</t>
        </is>
      </c>
      <c r="L135" s="147" t="n"/>
      <c r="M135" s="147" t="n"/>
      <c r="N135" s="147" t="n">
        <v>36.864</v>
      </c>
      <c r="O135" s="147" t="inlineStr">
        <is>
          <t>Illumina Truseq文库</t>
        </is>
      </c>
      <c r="P135" s="147" t="inlineStr">
        <is>
          <t>未磷酸化</t>
        </is>
      </c>
      <c r="Q135" s="147" t="inlineStr">
        <is>
          <t>未环化</t>
        </is>
      </c>
      <c r="R135" s="147" t="inlineStr">
        <is>
          <t>A</t>
        </is>
      </c>
      <c r="S135" s="147" t="n"/>
    </row>
    <row r="136" ht="30" customHeight="1" s="76">
      <c r="A136" s="152" t="n"/>
      <c r="B136" s="144" t="inlineStr">
        <is>
          <t>HGC-Lib-26097242</t>
        </is>
      </c>
      <c r="C136" s="144" t="n">
        <v>62.91</v>
      </c>
      <c r="D136" s="145" t="n">
        <v>5</v>
      </c>
      <c r="E136" s="146">
        <f>ROUND(D136/SUM(D96:D204)*IF(C136="",50,50.0),3)</f>
        <v/>
      </c>
      <c r="F136" s="146">
        <f>ROUND(E136/C136*G205,3)</f>
        <v/>
      </c>
      <c r="G136" s="144" t="inlineStr">
        <is>
          <t>有参转录组（RNA-seq）</t>
        </is>
      </c>
      <c r="H136" s="144" t="inlineStr">
        <is>
          <t>广州奥智生物科技有限公司</t>
        </is>
      </c>
      <c r="I136" s="146" t="n"/>
      <c r="J136" s="144" t="n"/>
      <c r="K136" s="144" t="inlineStr">
        <is>
          <t>26.7.28-3_E1</t>
        </is>
      </c>
      <c r="L136" s="147" t="n"/>
      <c r="M136" s="147" t="n"/>
      <c r="N136" s="147" t="n">
        <v>62.91</v>
      </c>
      <c r="O136" s="147" t="inlineStr">
        <is>
          <t>Illumina Truseq文库</t>
        </is>
      </c>
      <c r="P136" s="147" t="inlineStr">
        <is>
          <t>未磷酸化</t>
        </is>
      </c>
      <c r="Q136" s="147" t="inlineStr">
        <is>
          <t>未环化</t>
        </is>
      </c>
      <c r="R136" s="147" t="inlineStr">
        <is>
          <t>A</t>
        </is>
      </c>
      <c r="S136" s="147" t="n"/>
    </row>
    <row r="137" ht="30" customHeight="1" s="76">
      <c r="A137" s="152" t="n"/>
      <c r="B137" s="144" t="inlineStr">
        <is>
          <t>HGC-Lib-26097243</t>
        </is>
      </c>
      <c r="C137" s="144" t="n">
        <v>36.675</v>
      </c>
      <c r="D137" s="145" t="n">
        <v>5</v>
      </c>
      <c r="E137" s="146">
        <f>ROUND(D137/SUM(D96:D204)*IF(C137="",50,50.0),3)</f>
        <v/>
      </c>
      <c r="F137" s="146">
        <f>ROUND(E137/C137*G205,3)</f>
        <v/>
      </c>
      <c r="G137" s="144" t="inlineStr">
        <is>
          <t>有参转录组（RNA-seq）</t>
        </is>
      </c>
      <c r="H137" s="144" t="inlineStr">
        <is>
          <t>广州奥智生物科技有限公司</t>
        </is>
      </c>
      <c r="I137" s="146" t="n"/>
      <c r="J137" s="144" t="n"/>
      <c r="K137" s="144" t="inlineStr">
        <is>
          <t>26.7.28-3_E2</t>
        </is>
      </c>
      <c r="L137" s="147" t="n"/>
      <c r="M137" s="147" t="n"/>
      <c r="N137" s="147" t="n">
        <v>36.675</v>
      </c>
      <c r="O137" s="147" t="inlineStr">
        <is>
          <t>Illumina Truseq文库</t>
        </is>
      </c>
      <c r="P137" s="147" t="inlineStr">
        <is>
          <t>未磷酸化</t>
        </is>
      </c>
      <c r="Q137" s="147" t="inlineStr">
        <is>
          <t>未环化</t>
        </is>
      </c>
      <c r="R137" s="147" t="inlineStr">
        <is>
          <t>A</t>
        </is>
      </c>
      <c r="S137" s="147" t="n"/>
    </row>
    <row r="138" ht="30" customHeight="1" s="76">
      <c r="A138" s="152" t="n"/>
      <c r="B138" s="144" t="inlineStr">
        <is>
          <t>HGC-Lib-26097244</t>
        </is>
      </c>
      <c r="C138" s="144" t="n">
        <v>51.777</v>
      </c>
      <c r="D138" s="145" t="n">
        <v>5</v>
      </c>
      <c r="E138" s="146">
        <f>ROUND(D138/SUM(D96:D204)*IF(C138="",50,50.0),3)</f>
        <v/>
      </c>
      <c r="F138" s="146">
        <f>ROUND(E138/C138*G205,3)</f>
        <v/>
      </c>
      <c r="G138" s="144" t="inlineStr">
        <is>
          <t>有参转录组（RNA-seq）</t>
        </is>
      </c>
      <c r="H138" s="144" t="inlineStr">
        <is>
          <t>广州奥智生物科技有限公司</t>
        </is>
      </c>
      <c r="I138" s="146" t="n"/>
      <c r="J138" s="144" t="n"/>
      <c r="K138" s="144" t="inlineStr">
        <is>
          <t>26.7.28-3_E3</t>
        </is>
      </c>
      <c r="L138" s="147" t="n"/>
      <c r="M138" s="147" t="n"/>
      <c r="N138" s="147" t="n">
        <v>51.777</v>
      </c>
      <c r="O138" s="147" t="inlineStr">
        <is>
          <t>Illumina Truseq文库</t>
        </is>
      </c>
      <c r="P138" s="147" t="inlineStr">
        <is>
          <t>未磷酸化</t>
        </is>
      </c>
      <c r="Q138" s="147" t="inlineStr">
        <is>
          <t>未环化</t>
        </is>
      </c>
      <c r="R138" s="147" t="inlineStr">
        <is>
          <t>A</t>
        </is>
      </c>
      <c r="S138" s="147" t="n"/>
    </row>
    <row r="139" ht="30" customHeight="1" s="76">
      <c r="A139" s="152" t="n"/>
      <c r="B139" s="144" t="inlineStr">
        <is>
          <t>HGC-Lib-26097245</t>
        </is>
      </c>
      <c r="C139" s="144" t="n">
        <v>67.26600000000001</v>
      </c>
      <c r="D139" s="145" t="n">
        <v>5</v>
      </c>
      <c r="E139" s="146">
        <f>ROUND(D139/SUM(D96:D204)*IF(C139="",50,50.0),3)</f>
        <v/>
      </c>
      <c r="F139" s="146">
        <f>ROUND(E139/C139*G205,3)</f>
        <v/>
      </c>
      <c r="G139" s="144" t="inlineStr">
        <is>
          <t>有参转录组（RNA-seq）</t>
        </is>
      </c>
      <c r="H139" s="144" t="inlineStr">
        <is>
          <t>广州奥智生物科技有限公司</t>
        </is>
      </c>
      <c r="I139" s="146" t="n"/>
      <c r="J139" s="144" t="n"/>
      <c r="K139" s="144" t="inlineStr">
        <is>
          <t>26.7.28-3_E4</t>
        </is>
      </c>
      <c r="L139" s="147" t="n"/>
      <c r="M139" s="147" t="n"/>
      <c r="N139" s="147" t="n">
        <v>67.26600000000001</v>
      </c>
      <c r="O139" s="147" t="inlineStr">
        <is>
          <t>Illumina Truseq文库</t>
        </is>
      </c>
      <c r="P139" s="147" t="inlineStr">
        <is>
          <t>未磷酸化</t>
        </is>
      </c>
      <c r="Q139" s="147" t="inlineStr">
        <is>
          <t>未环化</t>
        </is>
      </c>
      <c r="R139" s="147" t="inlineStr">
        <is>
          <t>A</t>
        </is>
      </c>
      <c r="S139" s="147" t="n"/>
    </row>
    <row r="140" ht="30" customHeight="1" s="76">
      <c r="A140" s="152" t="n"/>
      <c r="B140" s="144" t="inlineStr">
        <is>
          <t>HGC-Lib-26097246</t>
        </is>
      </c>
      <c r="C140" s="144" t="n">
        <v>61.353</v>
      </c>
      <c r="D140" s="145" t="n">
        <v>5</v>
      </c>
      <c r="E140" s="146">
        <f>ROUND(D140/SUM(D96:D204)*IF(C140="",50,50.0),3)</f>
        <v/>
      </c>
      <c r="F140" s="146">
        <f>ROUND(E140/C140*G205,3)</f>
        <v/>
      </c>
      <c r="G140" s="144" t="inlineStr">
        <is>
          <t>有参转录组（RNA-seq）</t>
        </is>
      </c>
      <c r="H140" s="144" t="inlineStr">
        <is>
          <t>广州奥智生物科技有限公司</t>
        </is>
      </c>
      <c r="I140" s="146" t="n"/>
      <c r="J140" s="144" t="n"/>
      <c r="K140" s="144" t="inlineStr">
        <is>
          <t>26.7.28-3_E5</t>
        </is>
      </c>
      <c r="L140" s="147" t="n"/>
      <c r="M140" s="147" t="n"/>
      <c r="N140" s="147" t="n">
        <v>61.353</v>
      </c>
      <c r="O140" s="147" t="inlineStr">
        <is>
          <t>Illumina Truseq文库</t>
        </is>
      </c>
      <c r="P140" s="147" t="inlineStr">
        <is>
          <t>未磷酸化</t>
        </is>
      </c>
      <c r="Q140" s="147" t="inlineStr">
        <is>
          <t>未环化</t>
        </is>
      </c>
      <c r="R140" s="147" t="inlineStr">
        <is>
          <t>A</t>
        </is>
      </c>
      <c r="S140" s="147" t="n"/>
    </row>
    <row r="141" ht="30" customHeight="1" s="76">
      <c r="A141" s="152" t="n"/>
      <c r="B141" s="144" t="inlineStr">
        <is>
          <t>HGC-Lib-26097247</t>
        </is>
      </c>
      <c r="C141" s="144" t="n">
        <v>67.482</v>
      </c>
      <c r="D141" s="145" t="n">
        <v>5</v>
      </c>
      <c r="E141" s="146">
        <f>ROUND(D141/SUM(D96:D204)*IF(C141="",50,50.0),3)</f>
        <v/>
      </c>
      <c r="F141" s="146">
        <f>ROUND(E141/C141*G205,3)</f>
        <v/>
      </c>
      <c r="G141" s="144" t="inlineStr">
        <is>
          <t>有参转录组（RNA-seq）</t>
        </is>
      </c>
      <c r="H141" s="144" t="inlineStr">
        <is>
          <t>广州奥智生物科技有限公司</t>
        </is>
      </c>
      <c r="I141" s="146" t="n"/>
      <c r="J141" s="144" t="n"/>
      <c r="K141" s="144" t="inlineStr">
        <is>
          <t>26.7.28-3_E6</t>
        </is>
      </c>
      <c r="L141" s="147" t="n"/>
      <c r="M141" s="147" t="n"/>
      <c r="N141" s="147" t="n">
        <v>67.482</v>
      </c>
      <c r="O141" s="147" t="inlineStr">
        <is>
          <t>Illumina Truseq文库</t>
        </is>
      </c>
      <c r="P141" s="147" t="inlineStr">
        <is>
          <t>未磷酸化</t>
        </is>
      </c>
      <c r="Q141" s="147" t="inlineStr">
        <is>
          <t>未环化</t>
        </is>
      </c>
      <c r="R141" s="147" t="inlineStr">
        <is>
          <t>A</t>
        </is>
      </c>
      <c r="S141" s="147" t="n"/>
    </row>
    <row r="142" ht="30" customHeight="1" s="76">
      <c r="A142" s="152" t="n"/>
      <c r="B142" s="144" t="inlineStr">
        <is>
          <t>HGC-Lib-26097248</t>
        </is>
      </c>
      <c r="C142" s="144" t="n">
        <v>41.472</v>
      </c>
      <c r="D142" s="145" t="n">
        <v>5</v>
      </c>
      <c r="E142" s="146">
        <f>ROUND(D142/SUM(D96:D204)*IF(C142="",50,50.0),3)</f>
        <v/>
      </c>
      <c r="F142" s="146">
        <f>ROUND(E142/C142*G205,3)</f>
        <v/>
      </c>
      <c r="G142" s="144" t="inlineStr">
        <is>
          <t>有参转录组（RNA-seq）</t>
        </is>
      </c>
      <c r="H142" s="144" t="inlineStr">
        <is>
          <t>广州奥智生物科技有限公司</t>
        </is>
      </c>
      <c r="I142" s="146" t="n"/>
      <c r="J142" s="144" t="n"/>
      <c r="K142" s="144" t="inlineStr">
        <is>
          <t>26.7.28-3_E7</t>
        </is>
      </c>
      <c r="L142" s="147" t="n"/>
      <c r="M142" s="147" t="n"/>
      <c r="N142" s="147" t="n">
        <v>41.472</v>
      </c>
      <c r="O142" s="147" t="inlineStr">
        <is>
          <t>Illumina Truseq文库</t>
        </is>
      </c>
      <c r="P142" s="147" t="inlineStr">
        <is>
          <t>未磷酸化</t>
        </is>
      </c>
      <c r="Q142" s="147" t="inlineStr">
        <is>
          <t>未环化</t>
        </is>
      </c>
      <c r="R142" s="147" t="inlineStr">
        <is>
          <t>A</t>
        </is>
      </c>
      <c r="S142" s="147" t="n"/>
    </row>
    <row r="143" ht="30" customHeight="1" s="76">
      <c r="A143" s="152" t="n"/>
      <c r="B143" s="144" t="inlineStr">
        <is>
          <t>HGC-Lib-26097249</t>
        </is>
      </c>
      <c r="C143" s="144" t="n">
        <v>46.215</v>
      </c>
      <c r="D143" s="145" t="n">
        <v>5</v>
      </c>
      <c r="E143" s="146">
        <f>ROUND(D143/SUM(D96:D204)*IF(C143="",50,50.0),3)</f>
        <v/>
      </c>
      <c r="F143" s="146">
        <f>ROUND(E143/C143*G205,3)</f>
        <v/>
      </c>
      <c r="G143" s="144" t="inlineStr">
        <is>
          <t>有参转录组（RNA-seq）</t>
        </is>
      </c>
      <c r="H143" s="144" t="inlineStr">
        <is>
          <t>广州奥智生物科技有限公司</t>
        </is>
      </c>
      <c r="I143" s="146" t="n"/>
      <c r="J143" s="144" t="n"/>
      <c r="K143" s="144" t="inlineStr">
        <is>
          <t>26.7.28-3_E8</t>
        </is>
      </c>
      <c r="L143" s="147" t="n"/>
      <c r="M143" s="147" t="n"/>
      <c r="N143" s="147" t="n">
        <v>46.215</v>
      </c>
      <c r="O143" s="147" t="inlineStr">
        <is>
          <t>Illumina Truseq文库</t>
        </is>
      </c>
      <c r="P143" s="147" t="inlineStr">
        <is>
          <t>未磷酸化</t>
        </is>
      </c>
      <c r="Q143" s="147" t="inlineStr">
        <is>
          <t>未环化</t>
        </is>
      </c>
      <c r="R143" s="147" t="inlineStr">
        <is>
          <t>A</t>
        </is>
      </c>
      <c r="S143" s="147" t="n"/>
    </row>
    <row r="144" ht="30" customHeight="1" s="76">
      <c r="A144" s="152" t="n"/>
      <c r="B144" s="144" t="inlineStr">
        <is>
          <t>HGC-Lib-26097250</t>
        </is>
      </c>
      <c r="C144" s="144" t="n">
        <v>49.482</v>
      </c>
      <c r="D144" s="145" t="n">
        <v>5</v>
      </c>
      <c r="E144" s="146">
        <f>ROUND(D144/SUM(D96:D204)*IF(C144="",50,50.0),3)</f>
        <v/>
      </c>
      <c r="F144" s="146">
        <f>ROUND(E144/C144*G205,3)</f>
        <v/>
      </c>
      <c r="G144" s="144" t="inlineStr">
        <is>
          <t>有参转录组（RNA-seq）</t>
        </is>
      </c>
      <c r="H144" s="144" t="inlineStr">
        <is>
          <t>广州奥智生物科技有限公司</t>
        </is>
      </c>
      <c r="I144" s="146" t="n"/>
      <c r="J144" s="144" t="n"/>
      <c r="K144" s="144" t="inlineStr">
        <is>
          <t>26.7.28-3_E9</t>
        </is>
      </c>
      <c r="L144" s="147" t="n"/>
      <c r="M144" s="147" t="n"/>
      <c r="N144" s="147" t="n">
        <v>49.482</v>
      </c>
      <c r="O144" s="147" t="inlineStr">
        <is>
          <t>Illumina Truseq文库</t>
        </is>
      </c>
      <c r="P144" s="147" t="inlineStr">
        <is>
          <t>未磷酸化</t>
        </is>
      </c>
      <c r="Q144" s="147" t="inlineStr">
        <is>
          <t>未环化</t>
        </is>
      </c>
      <c r="R144" s="147" t="inlineStr">
        <is>
          <t>A</t>
        </is>
      </c>
      <c r="S144" s="147" t="n"/>
    </row>
    <row r="145" ht="30" customHeight="1" s="76">
      <c r="A145" s="152" t="n"/>
      <c r="B145" s="144" t="inlineStr">
        <is>
          <t>HGC-Lib-26097251</t>
        </is>
      </c>
      <c r="C145" s="144" t="n">
        <v>64.413</v>
      </c>
      <c r="D145" s="145" t="n">
        <v>5</v>
      </c>
      <c r="E145" s="146">
        <f>ROUND(D145/SUM(D96:D204)*IF(C145="",50,50.0),3)</f>
        <v/>
      </c>
      <c r="F145" s="146">
        <f>ROUND(E145/C145*G205,3)</f>
        <v/>
      </c>
      <c r="G145" s="144" t="inlineStr">
        <is>
          <t>有参转录组（RNA-seq）</t>
        </is>
      </c>
      <c r="H145" s="144" t="inlineStr">
        <is>
          <t>广州奥智生物科技有限公司</t>
        </is>
      </c>
      <c r="I145" s="146" t="n"/>
      <c r="J145" s="144" t="n"/>
      <c r="K145" s="144" t="inlineStr">
        <is>
          <t>26.7.28-3_E10</t>
        </is>
      </c>
      <c r="L145" s="147" t="n"/>
      <c r="M145" s="147" t="n"/>
      <c r="N145" s="147" t="n">
        <v>64.413</v>
      </c>
      <c r="O145" s="147" t="inlineStr">
        <is>
          <t>Illumina Truseq文库</t>
        </is>
      </c>
      <c r="P145" s="147" t="inlineStr">
        <is>
          <t>未磷酸化</t>
        </is>
      </c>
      <c r="Q145" s="147" t="inlineStr">
        <is>
          <t>未环化</t>
        </is>
      </c>
      <c r="R145" s="147" t="inlineStr">
        <is>
          <t>A</t>
        </is>
      </c>
      <c r="S145" s="147" t="n"/>
    </row>
    <row r="146" ht="30" customHeight="1" s="76">
      <c r="A146" s="152" t="n"/>
      <c r="B146" s="144" t="inlineStr">
        <is>
          <t>HGC-Lib-26097252</t>
        </is>
      </c>
      <c r="C146" s="144" t="n">
        <v>51.84</v>
      </c>
      <c r="D146" s="145" t="n">
        <v>5</v>
      </c>
      <c r="E146" s="146">
        <f>ROUND(D146/SUM(D96:D204)*IF(C146="",50,50.0),3)</f>
        <v/>
      </c>
      <c r="F146" s="146">
        <f>ROUND(E146/C146*G205,3)</f>
        <v/>
      </c>
      <c r="G146" s="144" t="inlineStr">
        <is>
          <t>有参转录组（RNA-seq）</t>
        </is>
      </c>
      <c r="H146" s="144" t="inlineStr">
        <is>
          <t>广州奥智生物科技有限公司</t>
        </is>
      </c>
      <c r="I146" s="146" t="n"/>
      <c r="J146" s="144" t="n"/>
      <c r="K146" s="144" t="inlineStr">
        <is>
          <t>26.7.28-3_E11</t>
        </is>
      </c>
      <c r="L146" s="147" t="n"/>
      <c r="M146" s="147" t="n"/>
      <c r="N146" s="147" t="n">
        <v>51.84</v>
      </c>
      <c r="O146" s="147" t="inlineStr">
        <is>
          <t>Illumina Truseq文库</t>
        </is>
      </c>
      <c r="P146" s="147" t="inlineStr">
        <is>
          <t>未磷酸化</t>
        </is>
      </c>
      <c r="Q146" s="147" t="inlineStr">
        <is>
          <t>未环化</t>
        </is>
      </c>
      <c r="R146" s="147" t="inlineStr">
        <is>
          <t>A</t>
        </is>
      </c>
      <c r="S146" s="147" t="n"/>
    </row>
    <row r="147" ht="30" customHeight="1" s="76">
      <c r="A147" s="152" t="n"/>
      <c r="B147" s="144" t="inlineStr">
        <is>
          <t>HGC-Lib-26097253</t>
        </is>
      </c>
      <c r="C147" s="144" t="n">
        <v>51.516</v>
      </c>
      <c r="D147" s="145" t="n">
        <v>5</v>
      </c>
      <c r="E147" s="146">
        <f>ROUND(D147/SUM(D96:D204)*IF(C147="",50,50.0),3)</f>
        <v/>
      </c>
      <c r="F147" s="146">
        <f>ROUND(E147/C147*G205,3)</f>
        <v/>
      </c>
      <c r="G147" s="144" t="inlineStr">
        <is>
          <t>有参转录组（RNA-seq）</t>
        </is>
      </c>
      <c r="H147" s="144" t="inlineStr">
        <is>
          <t>广州奥智生物科技有限公司</t>
        </is>
      </c>
      <c r="I147" s="146" t="n"/>
      <c r="J147" s="144" t="n"/>
      <c r="K147" s="144" t="inlineStr">
        <is>
          <t>26.7.28-3_E12</t>
        </is>
      </c>
      <c r="L147" s="147" t="n"/>
      <c r="M147" s="147" t="n"/>
      <c r="N147" s="147" t="n">
        <v>51.516</v>
      </c>
      <c r="O147" s="147" t="inlineStr">
        <is>
          <t>Illumina Truseq文库</t>
        </is>
      </c>
      <c r="P147" s="147" t="inlineStr">
        <is>
          <t>未磷酸化</t>
        </is>
      </c>
      <c r="Q147" s="147" t="inlineStr">
        <is>
          <t>未环化</t>
        </is>
      </c>
      <c r="R147" s="147" t="inlineStr">
        <is>
          <t>A</t>
        </is>
      </c>
      <c r="S147" s="147" t="n"/>
    </row>
    <row r="148" ht="30" customHeight="1" s="76">
      <c r="A148" s="152" t="n"/>
      <c r="B148" s="144" t="inlineStr">
        <is>
          <t>HGC-Lib-26097254</t>
        </is>
      </c>
      <c r="C148" s="144" t="n">
        <v>53.595</v>
      </c>
      <c r="D148" s="145" t="n">
        <v>5</v>
      </c>
      <c r="E148" s="146">
        <f>ROUND(D148/SUM(D96:D204)*IF(C148="",50,50.0),3)</f>
        <v/>
      </c>
      <c r="F148" s="146">
        <f>ROUND(E148/C148*G205,3)</f>
        <v/>
      </c>
      <c r="G148" s="144" t="inlineStr">
        <is>
          <t>有参转录组（RNA-seq）</t>
        </is>
      </c>
      <c r="H148" s="144" t="inlineStr">
        <is>
          <t>广州奥智生物科技有限公司</t>
        </is>
      </c>
      <c r="I148" s="146" t="n"/>
      <c r="J148" s="144" t="n"/>
      <c r="K148" s="144" t="inlineStr">
        <is>
          <t>26.7.28-3_F1</t>
        </is>
      </c>
      <c r="L148" s="147" t="n"/>
      <c r="M148" s="147" t="n"/>
      <c r="N148" s="147" t="n">
        <v>53.595</v>
      </c>
      <c r="O148" s="147" t="inlineStr">
        <is>
          <t>Illumina Truseq文库</t>
        </is>
      </c>
      <c r="P148" s="147" t="inlineStr">
        <is>
          <t>未磷酸化</t>
        </is>
      </c>
      <c r="Q148" s="147" t="inlineStr">
        <is>
          <t>未环化</t>
        </is>
      </c>
      <c r="R148" s="147" t="inlineStr">
        <is>
          <t>A</t>
        </is>
      </c>
      <c r="S148" s="147" t="n"/>
    </row>
    <row r="149" ht="30" customHeight="1" s="76">
      <c r="A149" s="152" t="n"/>
      <c r="B149" s="144" t="inlineStr">
        <is>
          <t>HGC-Lib-26097255</t>
        </is>
      </c>
      <c r="C149" s="144" t="n">
        <v>59.355</v>
      </c>
      <c r="D149" s="145" t="n">
        <v>5</v>
      </c>
      <c r="E149" s="146">
        <f>ROUND(D149/SUM(D96:D204)*IF(C149="",50,50.0),3)</f>
        <v/>
      </c>
      <c r="F149" s="146">
        <f>ROUND(E149/C149*G205,3)</f>
        <v/>
      </c>
      <c r="G149" s="144" t="inlineStr">
        <is>
          <t>有参转录组（RNA-seq）</t>
        </is>
      </c>
      <c r="H149" s="144" t="inlineStr">
        <is>
          <t>广州奥智生物科技有限公司</t>
        </is>
      </c>
      <c r="I149" s="146" t="n"/>
      <c r="J149" s="144" t="n"/>
      <c r="K149" s="144" t="inlineStr">
        <is>
          <t>26.7.28-3_F2</t>
        </is>
      </c>
      <c r="L149" s="147" t="n"/>
      <c r="M149" s="147" t="n"/>
      <c r="N149" s="147" t="n">
        <v>59.355</v>
      </c>
      <c r="O149" s="147" t="inlineStr">
        <is>
          <t>Illumina Truseq文库</t>
        </is>
      </c>
      <c r="P149" s="147" t="inlineStr">
        <is>
          <t>未磷酸化</t>
        </is>
      </c>
      <c r="Q149" s="147" t="inlineStr">
        <is>
          <t>未环化</t>
        </is>
      </c>
      <c r="R149" s="147" t="inlineStr">
        <is>
          <t>A</t>
        </is>
      </c>
      <c r="S149" s="147" t="n"/>
    </row>
    <row r="150" ht="30" customHeight="1" s="76">
      <c r="A150" s="152" t="n"/>
      <c r="B150" s="144" t="inlineStr">
        <is>
          <t>HGC-Lib-26097256</t>
        </is>
      </c>
      <c r="C150" s="144" t="n">
        <v>50.058</v>
      </c>
      <c r="D150" s="145" t="n">
        <v>5</v>
      </c>
      <c r="E150" s="146">
        <f>ROUND(D150/SUM(D96:D204)*IF(C150="",50,50.0),3)</f>
        <v/>
      </c>
      <c r="F150" s="146">
        <f>ROUND(E150/C150*G205,3)</f>
        <v/>
      </c>
      <c r="G150" s="144" t="inlineStr">
        <is>
          <t>有参转录组（RNA-seq）</t>
        </is>
      </c>
      <c r="H150" s="144" t="inlineStr">
        <is>
          <t>广州奥智生物科技有限公司</t>
        </is>
      </c>
      <c r="I150" s="146" t="n"/>
      <c r="J150" s="144" t="n"/>
      <c r="K150" s="144" t="inlineStr">
        <is>
          <t>26.7.28-3_F3</t>
        </is>
      </c>
      <c r="L150" s="147" t="n"/>
      <c r="M150" s="147" t="n"/>
      <c r="N150" s="147" t="n">
        <v>50.058</v>
      </c>
      <c r="O150" s="147" t="inlineStr">
        <is>
          <t>Illumina Truseq文库</t>
        </is>
      </c>
      <c r="P150" s="147" t="inlineStr">
        <is>
          <t>未磷酸化</t>
        </is>
      </c>
      <c r="Q150" s="147" t="inlineStr">
        <is>
          <t>未环化</t>
        </is>
      </c>
      <c r="R150" s="147" t="inlineStr">
        <is>
          <t>A</t>
        </is>
      </c>
      <c r="S150" s="147" t="n"/>
    </row>
    <row r="151" ht="30" customHeight="1" s="76">
      <c r="A151" s="152" t="n"/>
      <c r="B151" s="144" t="inlineStr">
        <is>
          <t>HGC-Lib-26097257</t>
        </is>
      </c>
      <c r="C151" s="144" t="n">
        <v>68.895</v>
      </c>
      <c r="D151" s="145" t="n">
        <v>5</v>
      </c>
      <c r="E151" s="146">
        <f>ROUND(D151/SUM(D96:D204)*IF(C151="",50,50.0),3)</f>
        <v/>
      </c>
      <c r="F151" s="146">
        <f>ROUND(E151/C151*G205,3)</f>
        <v/>
      </c>
      <c r="G151" s="144" t="inlineStr">
        <is>
          <t>有参转录组（RNA-seq）</t>
        </is>
      </c>
      <c r="H151" s="144" t="inlineStr">
        <is>
          <t>广州奥智生物科技有限公司</t>
        </is>
      </c>
      <c r="I151" s="146" t="n"/>
      <c r="J151" s="144" t="n"/>
      <c r="K151" s="144" t="inlineStr">
        <is>
          <t>26.7.28-3_F4</t>
        </is>
      </c>
      <c r="L151" s="147" t="n"/>
      <c r="M151" s="147" t="n"/>
      <c r="N151" s="147" t="n">
        <v>68.895</v>
      </c>
      <c r="O151" s="147" t="inlineStr">
        <is>
          <t>Illumina Truseq文库</t>
        </is>
      </c>
      <c r="P151" s="147" t="inlineStr">
        <is>
          <t>未磷酸化</t>
        </is>
      </c>
      <c r="Q151" s="147" t="inlineStr">
        <is>
          <t>未环化</t>
        </is>
      </c>
      <c r="R151" s="147" t="inlineStr">
        <is>
          <t>A</t>
        </is>
      </c>
      <c r="S151" s="147" t="n"/>
    </row>
    <row r="152" ht="30" customHeight="1" s="76">
      <c r="A152" s="152" t="n"/>
      <c r="B152" s="144" t="inlineStr">
        <is>
          <t>HGC-Lib-26097258</t>
        </is>
      </c>
      <c r="C152" s="144" t="n">
        <v>42.426</v>
      </c>
      <c r="D152" s="145" t="n">
        <v>5</v>
      </c>
      <c r="E152" s="146">
        <f>ROUND(D152/SUM(D96:D204)*IF(C152="",50,50.0),3)</f>
        <v/>
      </c>
      <c r="F152" s="146">
        <f>ROUND(E152/C152*G205,3)</f>
        <v/>
      </c>
      <c r="G152" s="144" t="inlineStr">
        <is>
          <t>有参转录组（RNA-seq）</t>
        </is>
      </c>
      <c r="H152" s="144" t="inlineStr">
        <is>
          <t>广州奥智生物科技有限公司</t>
        </is>
      </c>
      <c r="I152" s="146" t="n"/>
      <c r="J152" s="144" t="n"/>
      <c r="K152" s="144" t="inlineStr">
        <is>
          <t>26.7.28-3_F5</t>
        </is>
      </c>
      <c r="L152" s="147" t="n"/>
      <c r="M152" s="147" t="n"/>
      <c r="N152" s="147" t="n">
        <v>42.426</v>
      </c>
      <c r="O152" s="147" t="inlineStr">
        <is>
          <t>Illumina Truseq文库</t>
        </is>
      </c>
      <c r="P152" s="147" t="inlineStr">
        <is>
          <t>未磷酸化</t>
        </is>
      </c>
      <c r="Q152" s="147" t="inlineStr">
        <is>
          <t>未环化</t>
        </is>
      </c>
      <c r="R152" s="147" t="inlineStr">
        <is>
          <t>A</t>
        </is>
      </c>
      <c r="S152" s="147" t="n"/>
    </row>
    <row r="153" ht="30" customHeight="1" s="76">
      <c r="A153" s="152" t="n"/>
      <c r="B153" s="144" t="inlineStr">
        <is>
          <t>HGC-Lib-26097259</t>
        </is>
      </c>
      <c r="C153" s="144" t="n">
        <v>27.801</v>
      </c>
      <c r="D153" s="145" t="n">
        <v>5</v>
      </c>
      <c r="E153" s="146">
        <f>ROUND(D153/SUM(D96:D204)*IF(C153="",50,50.0),3)</f>
        <v/>
      </c>
      <c r="F153" s="146">
        <f>ROUND(E153/C153*G205,3)</f>
        <v/>
      </c>
      <c r="G153" s="144" t="inlineStr">
        <is>
          <t>有参转录组（RNA-seq）</t>
        </is>
      </c>
      <c r="H153" s="144" t="inlineStr">
        <is>
          <t>广州奥智生物科技有限公司</t>
        </is>
      </c>
      <c r="I153" s="146" t="n"/>
      <c r="J153" s="144" t="n"/>
      <c r="K153" s="144" t="inlineStr">
        <is>
          <t>26.7.28-3_F6</t>
        </is>
      </c>
      <c r="L153" s="147" t="n"/>
      <c r="M153" s="147" t="n"/>
      <c r="N153" s="147" t="n">
        <v>27.801</v>
      </c>
      <c r="O153" s="147" t="inlineStr">
        <is>
          <t>Illumina Truseq文库</t>
        </is>
      </c>
      <c r="P153" s="147" t="inlineStr">
        <is>
          <t>未磷酸化</t>
        </is>
      </c>
      <c r="Q153" s="147" t="inlineStr">
        <is>
          <t>未环化</t>
        </is>
      </c>
      <c r="R153" s="147" t="inlineStr">
        <is>
          <t>A</t>
        </is>
      </c>
      <c r="S153" s="147" t="n"/>
    </row>
    <row r="154" ht="30" customHeight="1" s="76">
      <c r="A154" s="152" t="n"/>
      <c r="B154" s="144" t="inlineStr">
        <is>
          <t>HGC-Lib-26097260</t>
        </is>
      </c>
      <c r="C154" s="144" t="n">
        <v>47.556</v>
      </c>
      <c r="D154" s="145" t="n">
        <v>5</v>
      </c>
      <c r="E154" s="146">
        <f>ROUND(D154/SUM(D96:D204)*IF(C154="",50,50.0),3)</f>
        <v/>
      </c>
      <c r="F154" s="146">
        <f>ROUND(E154/C154*G205,3)</f>
        <v/>
      </c>
      <c r="G154" s="144" t="inlineStr">
        <is>
          <t>有参转录组（RNA-seq）</t>
        </is>
      </c>
      <c r="H154" s="144" t="inlineStr">
        <is>
          <t>广州奥智生物科技有限公司</t>
        </is>
      </c>
      <c r="I154" s="146" t="n"/>
      <c r="J154" s="144" t="n"/>
      <c r="K154" s="144" t="inlineStr">
        <is>
          <t>26.7.28-3_F7</t>
        </is>
      </c>
      <c r="L154" s="147" t="n"/>
      <c r="M154" s="147" t="n"/>
      <c r="N154" s="147" t="n">
        <v>47.556</v>
      </c>
      <c r="O154" s="147" t="inlineStr">
        <is>
          <t>Illumina Truseq文库</t>
        </is>
      </c>
      <c r="P154" s="147" t="inlineStr">
        <is>
          <t>未磷酸化</t>
        </is>
      </c>
      <c r="Q154" s="147" t="inlineStr">
        <is>
          <t>未环化</t>
        </is>
      </c>
      <c r="R154" s="147" t="inlineStr">
        <is>
          <t>A</t>
        </is>
      </c>
      <c r="S154" s="147" t="n"/>
    </row>
    <row r="155" ht="30" customHeight="1" s="76">
      <c r="A155" s="152" t="n"/>
      <c r="B155" s="144" t="inlineStr">
        <is>
          <t>HGC-Lib-26097261</t>
        </is>
      </c>
      <c r="C155" s="144" t="n">
        <v>48.69</v>
      </c>
      <c r="D155" s="145" t="n">
        <v>5</v>
      </c>
      <c r="E155" s="146">
        <f>ROUND(D155/SUM(D96:D204)*IF(C155="",50,50.0),3)</f>
        <v/>
      </c>
      <c r="F155" s="146">
        <f>ROUND(E155/C155*G205,3)</f>
        <v/>
      </c>
      <c r="G155" s="144" t="inlineStr">
        <is>
          <t>有参转录组（RNA-seq）</t>
        </is>
      </c>
      <c r="H155" s="144" t="inlineStr">
        <is>
          <t>广州奥智生物科技有限公司</t>
        </is>
      </c>
      <c r="I155" s="146" t="n"/>
      <c r="J155" s="144" t="n"/>
      <c r="K155" s="144" t="inlineStr">
        <is>
          <t>26.7.28-3_F8</t>
        </is>
      </c>
      <c r="L155" s="147" t="n"/>
      <c r="M155" s="147" t="n"/>
      <c r="N155" s="147" t="n">
        <v>48.69</v>
      </c>
      <c r="O155" s="147" t="inlineStr">
        <is>
          <t>Illumina Truseq文库</t>
        </is>
      </c>
      <c r="P155" s="147" t="inlineStr">
        <is>
          <t>未磷酸化</t>
        </is>
      </c>
      <c r="Q155" s="147" t="inlineStr">
        <is>
          <t>未环化</t>
        </is>
      </c>
      <c r="R155" s="147" t="inlineStr">
        <is>
          <t>A</t>
        </is>
      </c>
      <c r="S155" s="147" t="n"/>
    </row>
    <row r="156" ht="30" customHeight="1" s="76">
      <c r="A156" s="152" t="n"/>
      <c r="B156" s="144" t="inlineStr">
        <is>
          <t>HGC-Lib-26097262</t>
        </is>
      </c>
      <c r="C156" s="144" t="n">
        <v>51.75</v>
      </c>
      <c r="D156" s="145" t="n">
        <v>5</v>
      </c>
      <c r="E156" s="146">
        <f>ROUND(D156/SUM(D96:D204)*IF(C156="",50,50.0),3)</f>
        <v/>
      </c>
      <c r="F156" s="146">
        <f>ROUND(E156/C156*G205,3)</f>
        <v/>
      </c>
      <c r="G156" s="144" t="inlineStr">
        <is>
          <t>有参转录组（RNA-seq）</t>
        </is>
      </c>
      <c r="H156" s="144" t="inlineStr">
        <is>
          <t>广州奥智生物科技有限公司</t>
        </is>
      </c>
      <c r="I156" s="146" t="n"/>
      <c r="J156" s="144" t="n"/>
      <c r="K156" s="144" t="inlineStr">
        <is>
          <t>26.7.28-3_F9</t>
        </is>
      </c>
      <c r="L156" s="147" t="n"/>
      <c r="M156" s="147" t="n"/>
      <c r="N156" s="147" t="n">
        <v>51.75</v>
      </c>
      <c r="O156" s="147" t="inlineStr">
        <is>
          <t>Illumina Truseq文库</t>
        </is>
      </c>
      <c r="P156" s="147" t="inlineStr">
        <is>
          <t>未磷酸化</t>
        </is>
      </c>
      <c r="Q156" s="147" t="inlineStr">
        <is>
          <t>未环化</t>
        </is>
      </c>
      <c r="R156" s="147" t="inlineStr">
        <is>
          <t>A</t>
        </is>
      </c>
      <c r="S156" s="147" t="n"/>
    </row>
    <row r="157" ht="30" customHeight="1" s="76">
      <c r="A157" s="152" t="n"/>
      <c r="B157" s="144" t="inlineStr">
        <is>
          <t>HGC-Lib-26097263</t>
        </is>
      </c>
      <c r="C157" s="144" t="n">
        <v>34.029</v>
      </c>
      <c r="D157" s="145" t="n">
        <v>5</v>
      </c>
      <c r="E157" s="146">
        <f>ROUND(D157/SUM(D96:D204)*IF(C157="",50,50.0),3)</f>
        <v/>
      </c>
      <c r="F157" s="146">
        <f>ROUND(E157/C157*G205,3)</f>
        <v/>
      </c>
      <c r="G157" s="144" t="inlineStr">
        <is>
          <t>有参转录组（RNA-seq）</t>
        </is>
      </c>
      <c r="H157" s="144" t="inlineStr">
        <is>
          <t>广州奥智生物科技有限公司</t>
        </is>
      </c>
      <c r="I157" s="146" t="n"/>
      <c r="J157" s="144" t="n"/>
      <c r="K157" s="144" t="inlineStr">
        <is>
          <t>26.7.28-3_F10</t>
        </is>
      </c>
      <c r="L157" s="147" t="n"/>
      <c r="M157" s="147" t="n"/>
      <c r="N157" s="147" t="n">
        <v>34.029</v>
      </c>
      <c r="O157" s="147" t="inlineStr">
        <is>
          <t>Illumina Truseq文库</t>
        </is>
      </c>
      <c r="P157" s="147" t="inlineStr">
        <is>
          <t>未磷酸化</t>
        </is>
      </c>
      <c r="Q157" s="147" t="inlineStr">
        <is>
          <t>未环化</t>
        </is>
      </c>
      <c r="R157" s="147" t="inlineStr">
        <is>
          <t>A</t>
        </is>
      </c>
      <c r="S157" s="147" t="n"/>
    </row>
    <row r="158" ht="30" customHeight="1" s="76">
      <c r="A158" s="152" t="n"/>
      <c r="B158" s="144" t="inlineStr">
        <is>
          <t>HGC-Lib-26097264</t>
        </is>
      </c>
      <c r="C158" s="144" t="n">
        <v>58.896</v>
      </c>
      <c r="D158" s="145" t="n">
        <v>5</v>
      </c>
      <c r="E158" s="146">
        <f>ROUND(D158/SUM(D96:D204)*IF(C158="",50,50.0),3)</f>
        <v/>
      </c>
      <c r="F158" s="146">
        <f>ROUND(E158/C158*G205,3)</f>
        <v/>
      </c>
      <c r="G158" s="144" t="inlineStr">
        <is>
          <t>有参转录组（RNA-seq）</t>
        </is>
      </c>
      <c r="H158" s="144" t="inlineStr">
        <is>
          <t>广州奥智生物科技有限公司</t>
        </is>
      </c>
      <c r="I158" s="146" t="n"/>
      <c r="J158" s="144" t="n"/>
      <c r="K158" s="144" t="inlineStr">
        <is>
          <t>26.7.28-3_F11</t>
        </is>
      </c>
      <c r="L158" s="147" t="n"/>
      <c r="M158" s="147" t="n"/>
      <c r="N158" s="147" t="n">
        <v>58.896</v>
      </c>
      <c r="O158" s="147" t="inlineStr">
        <is>
          <t>Illumina Truseq文库</t>
        </is>
      </c>
      <c r="P158" s="147" t="inlineStr">
        <is>
          <t>未磷酸化</t>
        </is>
      </c>
      <c r="Q158" s="147" t="inlineStr">
        <is>
          <t>未环化</t>
        </is>
      </c>
      <c r="R158" s="147" t="inlineStr">
        <is>
          <t>A</t>
        </is>
      </c>
      <c r="S158" s="147" t="n"/>
    </row>
    <row r="159" ht="30" customHeight="1" s="76">
      <c r="A159" s="152" t="n"/>
      <c r="B159" s="144" t="inlineStr">
        <is>
          <t>HGC-Lib-26097274</t>
        </is>
      </c>
      <c r="C159" s="144" t="n">
        <v>74.16</v>
      </c>
      <c r="D159" s="145" t="n">
        <v>5</v>
      </c>
      <c r="E159" s="146">
        <f>ROUND(D159/SUM(D96:D204)*IF(C159="",50,50.0),3)</f>
        <v/>
      </c>
      <c r="F159" s="146">
        <f>ROUND(E159/C159*G205,3)</f>
        <v/>
      </c>
      <c r="G159" s="144" t="inlineStr">
        <is>
          <t>有参转录组（RNA-seq）</t>
        </is>
      </c>
      <c r="H159" s="144" t="inlineStr">
        <is>
          <t>广州奥智生物科技有限公司</t>
        </is>
      </c>
      <c r="I159" s="146" t="n"/>
      <c r="J159" s="144" t="n"/>
      <c r="K159" s="144" t="inlineStr">
        <is>
          <t>26.7.28-3_G9</t>
        </is>
      </c>
      <c r="L159" s="147" t="n"/>
      <c r="M159" s="147" t="n"/>
      <c r="N159" s="147" t="n">
        <v>74.16</v>
      </c>
      <c r="O159" s="147" t="inlineStr">
        <is>
          <t>Illumina Truseq文库</t>
        </is>
      </c>
      <c r="P159" s="147" t="inlineStr">
        <is>
          <t>未磷酸化</t>
        </is>
      </c>
      <c r="Q159" s="147" t="inlineStr">
        <is>
          <t>未环化</t>
        </is>
      </c>
      <c r="R159" s="147" t="inlineStr">
        <is>
          <t>A</t>
        </is>
      </c>
      <c r="S159" s="147" t="n"/>
    </row>
    <row r="160" ht="30" customHeight="1" s="76">
      <c r="A160" s="152" t="n"/>
      <c r="B160" s="144" t="inlineStr">
        <is>
          <t>HGC-Lib-26097275</t>
        </is>
      </c>
      <c r="C160" s="144" t="n">
        <v>78.15600000000001</v>
      </c>
      <c r="D160" s="145" t="n">
        <v>5</v>
      </c>
      <c r="E160" s="146">
        <f>ROUND(D160/SUM(D96:D204)*IF(C160="",50,50.0),3)</f>
        <v/>
      </c>
      <c r="F160" s="146">
        <f>ROUND(E160/C160*G205,3)</f>
        <v/>
      </c>
      <c r="G160" s="144" t="inlineStr">
        <is>
          <t>有参转录组（RNA-seq）</t>
        </is>
      </c>
      <c r="H160" s="144" t="inlineStr">
        <is>
          <t>广州奥智生物科技有限公司</t>
        </is>
      </c>
      <c r="I160" s="146" t="n"/>
      <c r="J160" s="144" t="n"/>
      <c r="K160" s="144" t="inlineStr">
        <is>
          <t>26.7.28-3_G10</t>
        </is>
      </c>
      <c r="L160" s="147" t="n"/>
      <c r="M160" s="147" t="n"/>
      <c r="N160" s="147" t="n">
        <v>78.15600000000001</v>
      </c>
      <c r="O160" s="147" t="inlineStr">
        <is>
          <t>Illumina Truseq文库</t>
        </is>
      </c>
      <c r="P160" s="147" t="inlineStr">
        <is>
          <t>未磷酸化</t>
        </is>
      </c>
      <c r="Q160" s="147" t="inlineStr">
        <is>
          <t>未环化</t>
        </is>
      </c>
      <c r="R160" s="147" t="inlineStr">
        <is>
          <t>A</t>
        </is>
      </c>
      <c r="S160" s="147" t="n"/>
    </row>
    <row r="161" ht="30" customHeight="1" s="76">
      <c r="A161" s="152" t="n"/>
      <c r="B161" s="144" t="inlineStr">
        <is>
          <t>HGC-Lib-26097276</t>
        </is>
      </c>
      <c r="C161" s="144" t="n">
        <v>43.047</v>
      </c>
      <c r="D161" s="145" t="n">
        <v>5</v>
      </c>
      <c r="E161" s="146">
        <f>ROUND(D161/SUM(D96:D204)*IF(C161="",50,50.0),3)</f>
        <v/>
      </c>
      <c r="F161" s="146">
        <f>ROUND(E161/C161*G205,3)</f>
        <v/>
      </c>
      <c r="G161" s="144" t="inlineStr">
        <is>
          <t>有参转录组（RNA-seq）</t>
        </is>
      </c>
      <c r="H161" s="144" t="inlineStr">
        <is>
          <t>广州奥智生物科技有限公司</t>
        </is>
      </c>
      <c r="I161" s="146" t="n"/>
      <c r="J161" s="144" t="n"/>
      <c r="K161" s="144" t="inlineStr">
        <is>
          <t>26.7.28-3_G11</t>
        </is>
      </c>
      <c r="L161" s="147" t="n"/>
      <c r="M161" s="147" t="n"/>
      <c r="N161" s="147" t="n">
        <v>43.047</v>
      </c>
      <c r="O161" s="147" t="inlineStr">
        <is>
          <t>Illumina Truseq文库</t>
        </is>
      </c>
      <c r="P161" s="147" t="inlineStr">
        <is>
          <t>未磷酸化</t>
        </is>
      </c>
      <c r="Q161" s="147" t="inlineStr">
        <is>
          <t>未环化</t>
        </is>
      </c>
      <c r="R161" s="147" t="inlineStr">
        <is>
          <t>A</t>
        </is>
      </c>
      <c r="S161" s="147" t="n"/>
    </row>
    <row r="162" ht="30" customHeight="1" s="76">
      <c r="A162" s="152" t="n"/>
      <c r="B162" s="144" t="inlineStr">
        <is>
          <t>HGC-Lib-26097277</t>
        </is>
      </c>
      <c r="C162" s="144" t="n">
        <v>67.545</v>
      </c>
      <c r="D162" s="145" t="n">
        <v>5</v>
      </c>
      <c r="E162" s="146">
        <f>ROUND(D162/SUM(D96:D204)*IF(C162="",50,50.0),3)</f>
        <v/>
      </c>
      <c r="F162" s="146">
        <f>ROUND(E162/C162*G205,3)</f>
        <v/>
      </c>
      <c r="G162" s="144" t="inlineStr">
        <is>
          <t>有参转录组（RNA-seq）</t>
        </is>
      </c>
      <c r="H162" s="144" t="inlineStr">
        <is>
          <t>广州奥智生物科技有限公司</t>
        </is>
      </c>
      <c r="I162" s="146" t="n"/>
      <c r="J162" s="144" t="n"/>
      <c r="K162" s="144" t="inlineStr">
        <is>
          <t>26.7.28-3_G12</t>
        </is>
      </c>
      <c r="L162" s="147" t="n"/>
      <c r="M162" s="147" t="n"/>
      <c r="N162" s="147" t="n">
        <v>67.545</v>
      </c>
      <c r="O162" s="147" t="inlineStr">
        <is>
          <t>Illumina Truseq文库</t>
        </is>
      </c>
      <c r="P162" s="147" t="inlineStr">
        <is>
          <t>未磷酸化</t>
        </is>
      </c>
      <c r="Q162" s="147" t="inlineStr">
        <is>
          <t>未环化</t>
        </is>
      </c>
      <c r="R162" s="147" t="inlineStr">
        <is>
          <t>A</t>
        </is>
      </c>
      <c r="S162" s="147" t="n"/>
    </row>
    <row r="163" ht="30" customHeight="1" s="76">
      <c r="A163" s="152" t="n"/>
      <c r="B163" s="144" t="inlineStr">
        <is>
          <t>HGC-Lib-26097278</t>
        </is>
      </c>
      <c r="C163" s="144" t="n">
        <v>78.97499999999999</v>
      </c>
      <c r="D163" s="145" t="n">
        <v>5</v>
      </c>
      <c r="E163" s="146">
        <f>ROUND(D163/SUM(D96:D204)*IF(C163="",50,50.0),3)</f>
        <v/>
      </c>
      <c r="F163" s="146">
        <f>ROUND(E163/C163*G205,3)</f>
        <v/>
      </c>
      <c r="G163" s="144" t="inlineStr">
        <is>
          <t>有参转录组（RNA-seq）</t>
        </is>
      </c>
      <c r="H163" s="144" t="inlineStr">
        <is>
          <t>广州奥智生物科技有限公司</t>
        </is>
      </c>
      <c r="I163" s="146" t="n"/>
      <c r="J163" s="144" t="n"/>
      <c r="K163" s="144" t="inlineStr">
        <is>
          <t>26.7.28-3_H1</t>
        </is>
      </c>
      <c r="L163" s="147" t="n"/>
      <c r="M163" s="147" t="n"/>
      <c r="N163" s="147" t="n">
        <v>78.97499999999999</v>
      </c>
      <c r="O163" s="147" t="inlineStr">
        <is>
          <t>Illumina Truseq文库</t>
        </is>
      </c>
      <c r="P163" s="147" t="inlineStr">
        <is>
          <t>未磷酸化</t>
        </is>
      </c>
      <c r="Q163" s="147" t="inlineStr">
        <is>
          <t>未环化</t>
        </is>
      </c>
      <c r="R163" s="147" t="inlineStr">
        <is>
          <t>A</t>
        </is>
      </c>
      <c r="S163" s="147" t="n"/>
    </row>
    <row r="164" ht="30" customHeight="1" s="76">
      <c r="A164" s="152" t="n"/>
      <c r="B164" s="144" t="inlineStr">
        <is>
          <t>HGC-Lib-26097279</t>
        </is>
      </c>
      <c r="C164" s="144" t="n">
        <v>33.66</v>
      </c>
      <c r="D164" s="145" t="n">
        <v>5</v>
      </c>
      <c r="E164" s="146">
        <f>ROUND(D164/SUM(D96:D204)*IF(C164="",50,50.0),3)</f>
        <v/>
      </c>
      <c r="F164" s="146">
        <f>ROUND(E164/C164*G205,3)</f>
        <v/>
      </c>
      <c r="G164" s="144" t="inlineStr">
        <is>
          <t>有参转录组（RNA-seq）</t>
        </is>
      </c>
      <c r="H164" s="144" t="inlineStr">
        <is>
          <t>广州奥智生物科技有限公司</t>
        </is>
      </c>
      <c r="I164" s="146" t="n"/>
      <c r="J164" s="144" t="n"/>
      <c r="K164" s="144" t="inlineStr">
        <is>
          <t>26.7.28-3_H2</t>
        </is>
      </c>
      <c r="L164" s="147" t="n"/>
      <c r="M164" s="147" t="n"/>
      <c r="N164" s="147" t="n">
        <v>33.66</v>
      </c>
      <c r="O164" s="147" t="inlineStr">
        <is>
          <t>Illumina Truseq文库</t>
        </is>
      </c>
      <c r="P164" s="147" t="inlineStr">
        <is>
          <t>未磷酸化</t>
        </is>
      </c>
      <c r="Q164" s="147" t="inlineStr">
        <is>
          <t>未环化</t>
        </is>
      </c>
      <c r="R164" s="147" t="inlineStr">
        <is>
          <t>A</t>
        </is>
      </c>
      <c r="S164" s="147" t="n"/>
    </row>
    <row r="165" ht="30" customHeight="1" s="76">
      <c r="A165" s="152" t="n"/>
      <c r="B165" s="144" t="inlineStr">
        <is>
          <t>HGC-Lib-26097280</t>
        </is>
      </c>
      <c r="C165" s="144" t="n">
        <v>66.096</v>
      </c>
      <c r="D165" s="145" t="n">
        <v>5</v>
      </c>
      <c r="E165" s="146">
        <f>ROUND(D165/SUM(D96:D204)*IF(C165="",50,50.0),3)</f>
        <v/>
      </c>
      <c r="F165" s="146">
        <f>ROUND(E165/C165*G205,3)</f>
        <v/>
      </c>
      <c r="G165" s="144" t="inlineStr">
        <is>
          <t>有参转录组（RNA-seq）</t>
        </is>
      </c>
      <c r="H165" s="144" t="inlineStr">
        <is>
          <t>广州奥智生物科技有限公司</t>
        </is>
      </c>
      <c r="I165" s="146" t="n"/>
      <c r="J165" s="144" t="n"/>
      <c r="K165" s="144" t="inlineStr">
        <is>
          <t>26.7.28-3_H3</t>
        </is>
      </c>
      <c r="L165" s="147" t="n"/>
      <c r="M165" s="147" t="n"/>
      <c r="N165" s="147" t="n">
        <v>66.096</v>
      </c>
      <c r="O165" s="147" t="inlineStr">
        <is>
          <t>Illumina Truseq文库</t>
        </is>
      </c>
      <c r="P165" s="147" t="inlineStr">
        <is>
          <t>未磷酸化</t>
        </is>
      </c>
      <c r="Q165" s="147" t="inlineStr">
        <is>
          <t>未环化</t>
        </is>
      </c>
      <c r="R165" s="147" t="inlineStr">
        <is>
          <t>A</t>
        </is>
      </c>
      <c r="S165" s="147" t="n"/>
    </row>
    <row r="166" ht="30" customHeight="1" s="76">
      <c r="A166" s="152" t="n"/>
      <c r="B166" s="144" t="inlineStr">
        <is>
          <t>HGC-Lib-26097281</t>
        </is>
      </c>
      <c r="C166" s="144" t="n">
        <v>68.616</v>
      </c>
      <c r="D166" s="145" t="n">
        <v>5</v>
      </c>
      <c r="E166" s="146">
        <f>ROUND(D166/SUM(D96:D204)*IF(C166="",50,50.0),3)</f>
        <v/>
      </c>
      <c r="F166" s="146">
        <f>ROUND(E166/C166*G205,3)</f>
        <v/>
      </c>
      <c r="G166" s="144" t="inlineStr">
        <is>
          <t>有参转录组（RNA-seq）</t>
        </is>
      </c>
      <c r="H166" s="144" t="inlineStr">
        <is>
          <t>广州奥智生物科技有限公司</t>
        </is>
      </c>
      <c r="I166" s="146" t="n"/>
      <c r="J166" s="144" t="n"/>
      <c r="K166" s="144" t="inlineStr">
        <is>
          <t>26.7.28-3_H4</t>
        </is>
      </c>
      <c r="L166" s="147" t="n"/>
      <c r="M166" s="147" t="n"/>
      <c r="N166" s="147" t="n">
        <v>68.616</v>
      </c>
      <c r="O166" s="147" t="inlineStr">
        <is>
          <t>Illumina Truseq文库</t>
        </is>
      </c>
      <c r="P166" s="147" t="inlineStr">
        <is>
          <t>未磷酸化</t>
        </is>
      </c>
      <c r="Q166" s="147" t="inlineStr">
        <is>
          <t>未环化</t>
        </is>
      </c>
      <c r="R166" s="147" t="inlineStr">
        <is>
          <t>A</t>
        </is>
      </c>
      <c r="S166" s="147" t="n"/>
    </row>
    <row r="167" ht="30" customHeight="1" s="76">
      <c r="A167" s="152" t="n"/>
      <c r="B167" s="144" t="inlineStr">
        <is>
          <t>HGC-Lib-26097282</t>
        </is>
      </c>
      <c r="C167" s="144" t="n">
        <v>87.057</v>
      </c>
      <c r="D167" s="145" t="n">
        <v>5</v>
      </c>
      <c r="E167" s="146">
        <f>ROUND(D167/SUM(D96:D204)*IF(C167="",50,50.0),3)</f>
        <v/>
      </c>
      <c r="F167" s="146">
        <f>ROUND(E167/C167*G205,3)</f>
        <v/>
      </c>
      <c r="G167" s="144" t="inlineStr">
        <is>
          <t>有参转录组（RNA-seq）</t>
        </is>
      </c>
      <c r="H167" s="144" t="inlineStr">
        <is>
          <t>广州奥智生物科技有限公司</t>
        </is>
      </c>
      <c r="I167" s="146" t="n"/>
      <c r="J167" s="144" t="n"/>
      <c r="K167" s="144" t="inlineStr">
        <is>
          <t>26.7.28-3_H5</t>
        </is>
      </c>
      <c r="L167" s="147" t="n"/>
      <c r="M167" s="147" t="n"/>
      <c r="N167" s="147" t="n">
        <v>87.057</v>
      </c>
      <c r="O167" s="147" t="inlineStr">
        <is>
          <t>Illumina Truseq文库</t>
        </is>
      </c>
      <c r="P167" s="147" t="inlineStr">
        <is>
          <t>未磷酸化</t>
        </is>
      </c>
      <c r="Q167" s="147" t="inlineStr">
        <is>
          <t>未环化</t>
        </is>
      </c>
      <c r="R167" s="147" t="inlineStr">
        <is>
          <t>A</t>
        </is>
      </c>
      <c r="S167" s="147" t="n"/>
    </row>
    <row r="168" ht="30" customHeight="1" s="76">
      <c r="A168" s="152" t="n"/>
      <c r="B168" s="144" t="inlineStr">
        <is>
          <t>HGC-Lib-26097283</t>
        </is>
      </c>
      <c r="C168" s="144" t="n">
        <v>34.029</v>
      </c>
      <c r="D168" s="145" t="n">
        <v>5</v>
      </c>
      <c r="E168" s="146">
        <f>ROUND(D168/SUM(D96:D204)*IF(C168="",50,50.0),3)</f>
        <v/>
      </c>
      <c r="F168" s="146">
        <f>ROUND(E168/C168*G205,3)</f>
        <v/>
      </c>
      <c r="G168" s="144" t="inlineStr">
        <is>
          <t>有参转录组（RNA-seq）</t>
        </is>
      </c>
      <c r="H168" s="144" t="inlineStr">
        <is>
          <t>广州奥智生物科技有限公司</t>
        </is>
      </c>
      <c r="I168" s="146" t="n"/>
      <c r="J168" s="144" t="n"/>
      <c r="K168" s="144" t="inlineStr">
        <is>
          <t>26.7.28-3_H6</t>
        </is>
      </c>
      <c r="L168" s="147" t="n"/>
      <c r="M168" s="147" t="n"/>
      <c r="N168" s="147" t="n">
        <v>34.029</v>
      </c>
      <c r="O168" s="147" t="inlineStr">
        <is>
          <t>Illumina Truseq文库</t>
        </is>
      </c>
      <c r="P168" s="147" t="inlineStr">
        <is>
          <t>未磷酸化</t>
        </is>
      </c>
      <c r="Q168" s="147" t="inlineStr">
        <is>
          <t>未环化</t>
        </is>
      </c>
      <c r="R168" s="147" t="inlineStr">
        <is>
          <t>A</t>
        </is>
      </c>
      <c r="S168" s="147" t="n"/>
    </row>
    <row r="169" ht="30" customHeight="1" s="76">
      <c r="A169" s="152" t="n"/>
      <c r="B169" s="144" t="inlineStr">
        <is>
          <t>HGC-Lib-26097284</t>
        </is>
      </c>
      <c r="C169" s="144" t="n">
        <v>78.12</v>
      </c>
      <c r="D169" s="145" t="n">
        <v>5</v>
      </c>
      <c r="E169" s="146">
        <f>ROUND(D169/SUM(D96:D204)*IF(C169="",50,50.0),3)</f>
        <v/>
      </c>
      <c r="F169" s="146">
        <f>ROUND(E169/C169*G205,3)</f>
        <v/>
      </c>
      <c r="G169" s="144" t="inlineStr">
        <is>
          <t>有参转录组（RNA-seq）</t>
        </is>
      </c>
      <c r="H169" s="144" t="inlineStr">
        <is>
          <t>广州奥智生物科技有限公司</t>
        </is>
      </c>
      <c r="I169" s="146" t="n"/>
      <c r="J169" s="144" t="n"/>
      <c r="K169" s="144" t="inlineStr">
        <is>
          <t>26.7.28-3_H7</t>
        </is>
      </c>
      <c r="L169" s="147" t="n"/>
      <c r="M169" s="147" t="n"/>
      <c r="N169" s="147" t="n">
        <v>78.12</v>
      </c>
      <c r="O169" s="147" t="inlineStr">
        <is>
          <t>Illumina Truseq文库</t>
        </is>
      </c>
      <c r="P169" s="147" t="inlineStr">
        <is>
          <t>未磷酸化</t>
        </is>
      </c>
      <c r="Q169" s="147" t="inlineStr">
        <is>
          <t>未环化</t>
        </is>
      </c>
      <c r="R169" s="147" t="inlineStr">
        <is>
          <t>A</t>
        </is>
      </c>
      <c r="S169" s="147" t="n"/>
    </row>
    <row r="170" ht="30" customHeight="1" s="76">
      <c r="A170" s="152" t="n"/>
      <c r="B170" s="144" t="inlineStr">
        <is>
          <t>HGC-Lib-26097285</t>
        </is>
      </c>
      <c r="C170" s="144" t="n">
        <v>46.971</v>
      </c>
      <c r="D170" s="145" t="n">
        <v>5</v>
      </c>
      <c r="E170" s="146">
        <f>ROUND(D170/SUM(D96:D204)*IF(C170="",50,50.0),3)</f>
        <v/>
      </c>
      <c r="F170" s="146">
        <f>ROUND(E170/C170*G205,3)</f>
        <v/>
      </c>
      <c r="G170" s="144" t="inlineStr">
        <is>
          <t>有参转录组（RNA-seq）</t>
        </is>
      </c>
      <c r="H170" s="144" t="inlineStr">
        <is>
          <t>广州奥智生物科技有限公司</t>
        </is>
      </c>
      <c r="I170" s="146" t="n"/>
      <c r="J170" s="144" t="n"/>
      <c r="K170" s="144" t="inlineStr">
        <is>
          <t>26.7.28-3_H8</t>
        </is>
      </c>
      <c r="L170" s="147" t="n"/>
      <c r="M170" s="147" t="n"/>
      <c r="N170" s="147" t="n">
        <v>46.971</v>
      </c>
      <c r="O170" s="147" t="inlineStr">
        <is>
          <t>Illumina Truseq文库</t>
        </is>
      </c>
      <c r="P170" s="147" t="inlineStr">
        <is>
          <t>未磷酸化</t>
        </is>
      </c>
      <c r="Q170" s="147" t="inlineStr">
        <is>
          <t>未环化</t>
        </is>
      </c>
      <c r="R170" s="147" t="inlineStr">
        <is>
          <t>A</t>
        </is>
      </c>
      <c r="S170" s="147" t="n"/>
    </row>
    <row r="171" ht="30" customHeight="1" s="76">
      <c r="A171" s="152" t="n"/>
      <c r="B171" s="144" t="inlineStr">
        <is>
          <t>HGC-Lib-26097286</t>
        </is>
      </c>
      <c r="C171" s="144" t="n">
        <v>36.774</v>
      </c>
      <c r="D171" s="145" t="n">
        <v>5</v>
      </c>
      <c r="E171" s="146">
        <f>ROUND(D171/SUM(D96:D204)*IF(C171="",50,50.0),3)</f>
        <v/>
      </c>
      <c r="F171" s="146">
        <f>ROUND(E171/C171*G205,3)</f>
        <v/>
      </c>
      <c r="G171" s="144" t="inlineStr">
        <is>
          <t>有参转录组（RNA-seq）</t>
        </is>
      </c>
      <c r="H171" s="144" t="inlineStr">
        <is>
          <t>广州奥智生物科技有限公司</t>
        </is>
      </c>
      <c r="I171" s="146" t="n"/>
      <c r="J171" s="144" t="n"/>
      <c r="K171" s="144" t="inlineStr">
        <is>
          <t>26.7.28-3_H9</t>
        </is>
      </c>
      <c r="L171" s="147" t="n"/>
      <c r="M171" s="147" t="n"/>
      <c r="N171" s="147" t="n">
        <v>36.774</v>
      </c>
      <c r="O171" s="147" t="inlineStr">
        <is>
          <t>Illumina Truseq文库</t>
        </is>
      </c>
      <c r="P171" s="147" t="inlineStr">
        <is>
          <t>未磷酸化</t>
        </is>
      </c>
      <c r="Q171" s="147" t="inlineStr">
        <is>
          <t>未环化</t>
        </is>
      </c>
      <c r="R171" s="147" t="inlineStr">
        <is>
          <t>A</t>
        </is>
      </c>
      <c r="S171" s="147" t="n"/>
    </row>
    <row r="172" ht="30" customHeight="1" s="76">
      <c r="A172" s="152" t="n"/>
      <c r="B172" s="144" t="inlineStr">
        <is>
          <t>HGC-Lib-26097287</t>
        </is>
      </c>
      <c r="C172" s="144" t="n">
        <v>78.048</v>
      </c>
      <c r="D172" s="145" t="n">
        <v>5</v>
      </c>
      <c r="E172" s="146">
        <f>ROUND(D172/SUM(D96:D204)*IF(C172="",50,50.0),3)</f>
        <v/>
      </c>
      <c r="F172" s="146">
        <f>ROUND(E172/C172*G205,3)</f>
        <v/>
      </c>
      <c r="G172" s="144" t="inlineStr">
        <is>
          <t>有参转录组（RNA-seq）</t>
        </is>
      </c>
      <c r="H172" s="144" t="inlineStr">
        <is>
          <t>广州奥智生物科技有限公司</t>
        </is>
      </c>
      <c r="I172" s="146" t="n"/>
      <c r="J172" s="144" t="n"/>
      <c r="K172" s="144" t="inlineStr">
        <is>
          <t>26.7.28-3_H10</t>
        </is>
      </c>
      <c r="L172" s="147" t="n"/>
      <c r="M172" s="147" t="n"/>
      <c r="N172" s="147" t="n">
        <v>78.048</v>
      </c>
      <c r="O172" s="147" t="inlineStr">
        <is>
          <t>Illumina Truseq文库</t>
        </is>
      </c>
      <c r="P172" s="147" t="inlineStr">
        <is>
          <t>未磷酸化</t>
        </is>
      </c>
      <c r="Q172" s="147" t="inlineStr">
        <is>
          <t>未环化</t>
        </is>
      </c>
      <c r="R172" s="147" t="inlineStr">
        <is>
          <t>A</t>
        </is>
      </c>
      <c r="S172" s="147" t="n"/>
    </row>
    <row r="173" ht="30" customHeight="1" s="76">
      <c r="A173" s="152" t="n"/>
      <c r="B173" s="144" t="inlineStr">
        <is>
          <t>HGC-Lib-26097288</t>
        </is>
      </c>
      <c r="C173" s="144" t="n">
        <v>71.09999999999999</v>
      </c>
      <c r="D173" s="145" t="n">
        <v>5</v>
      </c>
      <c r="E173" s="146">
        <f>ROUND(D173/SUM(D96:D204)*IF(C173="",50,50.0),3)</f>
        <v/>
      </c>
      <c r="F173" s="146">
        <f>ROUND(E173/C173*G205,3)</f>
        <v/>
      </c>
      <c r="G173" s="144" t="inlineStr">
        <is>
          <t>有参转录组（RNA-seq）</t>
        </is>
      </c>
      <c r="H173" s="144" t="inlineStr">
        <is>
          <t>广州奥智生物科技有限公司</t>
        </is>
      </c>
      <c r="I173" s="146" t="n"/>
      <c r="J173" s="144" t="n"/>
      <c r="K173" s="144" t="inlineStr">
        <is>
          <t>26.7.28-3_H11</t>
        </is>
      </c>
      <c r="L173" s="147" t="n"/>
      <c r="M173" s="147" t="n"/>
      <c r="N173" s="147" t="n">
        <v>71.09999999999999</v>
      </c>
      <c r="O173" s="147" t="inlineStr">
        <is>
          <t>Illumina Truseq文库</t>
        </is>
      </c>
      <c r="P173" s="147" t="inlineStr">
        <is>
          <t>未磷酸化</t>
        </is>
      </c>
      <c r="Q173" s="147" t="inlineStr">
        <is>
          <t>未环化</t>
        </is>
      </c>
      <c r="R173" s="147" t="inlineStr">
        <is>
          <t>A</t>
        </is>
      </c>
      <c r="S173" s="147" t="n"/>
    </row>
    <row r="174" ht="30" customHeight="1" s="76">
      <c r="A174" s="152" t="n"/>
      <c r="B174" s="144" t="inlineStr">
        <is>
          <t>HGC-Lib-26097289</t>
        </is>
      </c>
      <c r="C174" s="144" t="n">
        <v>74.7</v>
      </c>
      <c r="D174" s="145" t="n">
        <v>5</v>
      </c>
      <c r="E174" s="146">
        <f>ROUND(D174/SUM(D96:D204)*IF(C174="",50,50.0),3)</f>
        <v/>
      </c>
      <c r="F174" s="146">
        <f>ROUND(E174/C174*G205,3)</f>
        <v/>
      </c>
      <c r="G174" s="144" t="inlineStr">
        <is>
          <t>有参转录组（RNA-seq）</t>
        </is>
      </c>
      <c r="H174" s="144" t="inlineStr">
        <is>
          <t>广州奥智生物科技有限公司</t>
        </is>
      </c>
      <c r="I174" s="146" t="n"/>
      <c r="J174" s="144" t="n"/>
      <c r="K174" s="144" t="inlineStr">
        <is>
          <t>26.7.28-3_H12</t>
        </is>
      </c>
      <c r="L174" s="147" t="n"/>
      <c r="M174" s="147" t="n"/>
      <c r="N174" s="147" t="n">
        <v>74.7</v>
      </c>
      <c r="O174" s="147" t="inlineStr">
        <is>
          <t>Illumina Truseq文库</t>
        </is>
      </c>
      <c r="P174" s="147" t="inlineStr">
        <is>
          <t>未磷酸化</t>
        </is>
      </c>
      <c r="Q174" s="147" t="inlineStr">
        <is>
          <t>未环化</t>
        </is>
      </c>
      <c r="R174" s="147" t="inlineStr">
        <is>
          <t>A</t>
        </is>
      </c>
      <c r="S174" s="147" t="n"/>
    </row>
    <row r="175" ht="30" customHeight="1" s="76">
      <c r="A175" s="152" t="n"/>
      <c r="B175" s="144" t="inlineStr">
        <is>
          <t>HGC-Lib-26097363</t>
        </is>
      </c>
      <c r="C175" s="144" t="n">
        <v>77.877</v>
      </c>
      <c r="D175" s="145" t="n">
        <v>5</v>
      </c>
      <c r="E175" s="146">
        <f>ROUND(D175/SUM(D96:D204)*IF(C175="",50,50.0),3)</f>
        <v/>
      </c>
      <c r="F175" s="146">
        <f>ROUND(E175/C175*G205,3)</f>
        <v/>
      </c>
      <c r="G175" s="144" t="inlineStr">
        <is>
          <t>有参转录组（RNA-seq）</t>
        </is>
      </c>
      <c r="H175" s="144" t="inlineStr">
        <is>
          <t>广州奥智生物科技有限公司</t>
        </is>
      </c>
      <c r="I175" s="146" t="n"/>
      <c r="J175" s="144" t="n"/>
      <c r="K175" s="154" t="inlineStr">
        <is>
          <t>26.7.28-1_A1</t>
        </is>
      </c>
      <c r="L175" s="147" t="n"/>
      <c r="M175" s="147" t="n"/>
      <c r="N175" s="147" t="n">
        <v>77.877</v>
      </c>
      <c r="O175" s="147" t="inlineStr">
        <is>
          <t>Illumina Truseq文库</t>
        </is>
      </c>
      <c r="P175" s="147" t="inlineStr">
        <is>
          <t>未磷酸化</t>
        </is>
      </c>
      <c r="Q175" s="147" t="inlineStr">
        <is>
          <t>未环化</t>
        </is>
      </c>
      <c r="R175" s="147" t="inlineStr">
        <is>
          <t>A</t>
        </is>
      </c>
      <c r="S175" s="147" t="n"/>
    </row>
    <row r="176" ht="30" customHeight="1" s="76">
      <c r="A176" s="152" t="n"/>
      <c r="B176" s="144" t="inlineStr">
        <is>
          <t>HGC-Lib-26097364</t>
        </is>
      </c>
      <c r="C176" s="144" t="n">
        <v>63.792</v>
      </c>
      <c r="D176" s="145" t="n">
        <v>5</v>
      </c>
      <c r="E176" s="146">
        <f>ROUND(D176/SUM(D96:D204)*IF(C176="",50,50.0),3)</f>
        <v/>
      </c>
      <c r="F176" s="146">
        <f>ROUND(E176/C176*G205,3)</f>
        <v/>
      </c>
      <c r="G176" s="144" t="inlineStr">
        <is>
          <t>有参转录组（RNA-seq）</t>
        </is>
      </c>
      <c r="H176" s="144" t="inlineStr">
        <is>
          <t>广州奥智生物科技有限公司</t>
        </is>
      </c>
      <c r="I176" s="146" t="n"/>
      <c r="J176" s="144" t="n"/>
      <c r="K176" s="154" t="inlineStr">
        <is>
          <t>26.7.28-1_A2</t>
        </is>
      </c>
      <c r="L176" s="147" t="n"/>
      <c r="M176" s="147" t="n"/>
      <c r="N176" s="147" t="n">
        <v>63.792</v>
      </c>
      <c r="O176" s="147" t="inlineStr">
        <is>
          <t>Illumina Truseq文库</t>
        </is>
      </c>
      <c r="P176" s="147" t="inlineStr">
        <is>
          <t>未磷酸化</t>
        </is>
      </c>
      <c r="Q176" s="147" t="inlineStr">
        <is>
          <t>未环化</t>
        </is>
      </c>
      <c r="R176" s="147" t="inlineStr">
        <is>
          <t>A</t>
        </is>
      </c>
      <c r="S176" s="147" t="n"/>
    </row>
    <row r="177" ht="30" customHeight="1" s="76">
      <c r="A177" s="152" t="n"/>
      <c r="B177" s="144" t="inlineStr">
        <is>
          <t>HGC-Lib-26097365</t>
        </is>
      </c>
      <c r="C177" s="144" t="n">
        <v>68.508</v>
      </c>
      <c r="D177" s="145" t="n">
        <v>5</v>
      </c>
      <c r="E177" s="146">
        <f>ROUND(D177/SUM(D96:D204)*IF(C177="",50,50.0),3)</f>
        <v/>
      </c>
      <c r="F177" s="146">
        <f>ROUND(E177/C177*G205,3)</f>
        <v/>
      </c>
      <c r="G177" s="144" t="inlineStr">
        <is>
          <t>有参转录组（RNA-seq）</t>
        </is>
      </c>
      <c r="H177" s="144" t="inlineStr">
        <is>
          <t>广州奥智生物科技有限公司</t>
        </is>
      </c>
      <c r="I177" s="146" t="n"/>
      <c r="J177" s="144" t="n"/>
      <c r="K177" s="154" t="inlineStr">
        <is>
          <t>26.7.28-1_A3</t>
        </is>
      </c>
      <c r="L177" s="147" t="n"/>
      <c r="M177" s="147" t="n"/>
      <c r="N177" s="147" t="n">
        <v>68.508</v>
      </c>
      <c r="O177" s="147" t="inlineStr">
        <is>
          <t>Illumina Truseq文库</t>
        </is>
      </c>
      <c r="P177" s="147" t="inlineStr">
        <is>
          <t>未磷酸化</t>
        </is>
      </c>
      <c r="Q177" s="147" t="inlineStr">
        <is>
          <t>未环化</t>
        </is>
      </c>
      <c r="R177" s="147" t="inlineStr">
        <is>
          <t>A</t>
        </is>
      </c>
      <c r="S177" s="147" t="n"/>
    </row>
    <row r="178" ht="30" customHeight="1" s="76">
      <c r="A178" s="152" t="n"/>
      <c r="B178" s="144" t="inlineStr">
        <is>
          <t>HGC-Lib-26097366</t>
        </is>
      </c>
      <c r="C178" s="144" t="n">
        <v>56.133</v>
      </c>
      <c r="D178" s="145" t="n">
        <v>5</v>
      </c>
      <c r="E178" s="146">
        <f>ROUND(D178/SUM(D96:D204)*IF(C178="",50,50.0),3)</f>
        <v/>
      </c>
      <c r="F178" s="146">
        <f>ROUND(E178/C178*G205,3)</f>
        <v/>
      </c>
      <c r="G178" s="144" t="inlineStr">
        <is>
          <t>有参转录组（RNA-seq）</t>
        </is>
      </c>
      <c r="H178" s="144" t="inlineStr">
        <is>
          <t>广州奥智生物科技有限公司</t>
        </is>
      </c>
      <c r="I178" s="146" t="n"/>
      <c r="J178" s="144" t="n"/>
      <c r="K178" s="154" t="inlineStr">
        <is>
          <t>26.7.28-1_A4</t>
        </is>
      </c>
      <c r="L178" s="147" t="n"/>
      <c r="M178" s="147" t="n"/>
      <c r="N178" s="147" t="n">
        <v>56.133</v>
      </c>
      <c r="O178" s="147" t="inlineStr">
        <is>
          <t>Illumina Truseq文库</t>
        </is>
      </c>
      <c r="P178" s="147" t="inlineStr">
        <is>
          <t>未磷酸化</t>
        </is>
      </c>
      <c r="Q178" s="147" t="inlineStr">
        <is>
          <t>未环化</t>
        </is>
      </c>
      <c r="R178" s="147" t="inlineStr">
        <is>
          <t>A</t>
        </is>
      </c>
      <c r="S178" s="147" t="n"/>
    </row>
    <row r="179" ht="30" customHeight="1" s="76">
      <c r="A179" s="152" t="n"/>
      <c r="B179" s="144" t="inlineStr">
        <is>
          <t>HGC-Lib-26097367</t>
        </is>
      </c>
      <c r="C179" s="144" t="n">
        <v>82.089</v>
      </c>
      <c r="D179" s="145" t="n">
        <v>5</v>
      </c>
      <c r="E179" s="146">
        <f>ROUND(D179/SUM(D96:D204)*IF(C179="",50,50.0),3)</f>
        <v/>
      </c>
      <c r="F179" s="146">
        <f>ROUND(E179/C179*G205,3)</f>
        <v/>
      </c>
      <c r="G179" s="144" t="inlineStr">
        <is>
          <t>有参转录组（RNA-seq）</t>
        </is>
      </c>
      <c r="H179" s="144" t="inlineStr">
        <is>
          <t>广州奥智生物科技有限公司</t>
        </is>
      </c>
      <c r="I179" s="146" t="n"/>
      <c r="J179" s="144" t="n"/>
      <c r="K179" s="154" t="inlineStr">
        <is>
          <t>26.7.28-1_A5</t>
        </is>
      </c>
      <c r="L179" s="147" t="n"/>
      <c r="M179" s="147" t="n"/>
      <c r="N179" s="147" t="n">
        <v>82.089</v>
      </c>
      <c r="O179" s="147" t="inlineStr">
        <is>
          <t>Illumina Truseq文库</t>
        </is>
      </c>
      <c r="P179" s="147" t="inlineStr">
        <is>
          <t>未磷酸化</t>
        </is>
      </c>
      <c r="Q179" s="147" t="inlineStr">
        <is>
          <t>未环化</t>
        </is>
      </c>
      <c r="R179" s="147" t="inlineStr">
        <is>
          <t>A</t>
        </is>
      </c>
      <c r="S179" s="147" t="n"/>
    </row>
    <row r="180" ht="30" customHeight="1" s="76">
      <c r="A180" s="152" t="n"/>
      <c r="B180" s="144" t="inlineStr">
        <is>
          <t>HGC-Lib-26097368</t>
        </is>
      </c>
      <c r="C180" s="144" t="n">
        <v>75.411</v>
      </c>
      <c r="D180" s="145" t="n">
        <v>5</v>
      </c>
      <c r="E180" s="146">
        <f>ROUND(D180/SUM(D96:D204)*IF(C180="",50,50.0),3)</f>
        <v/>
      </c>
      <c r="F180" s="146">
        <f>ROUND(E180/C180*G205,3)</f>
        <v/>
      </c>
      <c r="G180" s="144" t="inlineStr">
        <is>
          <t>有参转录组（RNA-seq）</t>
        </is>
      </c>
      <c r="H180" s="144" t="inlineStr">
        <is>
          <t>广州奥智生物科技有限公司</t>
        </is>
      </c>
      <c r="I180" s="146" t="n"/>
      <c r="J180" s="144" t="n"/>
      <c r="K180" s="154" t="inlineStr">
        <is>
          <t>26.7.28-1_A6</t>
        </is>
      </c>
      <c r="L180" s="147" t="n"/>
      <c r="M180" s="147" t="n"/>
      <c r="N180" s="147" t="n">
        <v>75.411</v>
      </c>
      <c r="O180" s="147" t="inlineStr">
        <is>
          <t>Illumina Truseq文库</t>
        </is>
      </c>
      <c r="P180" s="147" t="inlineStr">
        <is>
          <t>未磷酸化</t>
        </is>
      </c>
      <c r="Q180" s="147" t="inlineStr">
        <is>
          <t>未环化</t>
        </is>
      </c>
      <c r="R180" s="147" t="inlineStr">
        <is>
          <t>A</t>
        </is>
      </c>
      <c r="S180" s="147" t="n"/>
    </row>
    <row r="181" ht="30" customHeight="1" s="76">
      <c r="A181" s="152" t="n"/>
      <c r="B181" s="144" t="inlineStr">
        <is>
          <t>HGC-Lib-26097369</t>
        </is>
      </c>
      <c r="C181" s="144" t="n">
        <v>23.175</v>
      </c>
      <c r="D181" s="145" t="n">
        <v>5</v>
      </c>
      <c r="E181" s="146">
        <f>ROUND(D181/SUM(D96:D204)*IF(C181="",50,50.0),3)</f>
        <v/>
      </c>
      <c r="F181" s="146">
        <f>ROUND(E181/C181*G205,3)</f>
        <v/>
      </c>
      <c r="G181" s="144" t="inlineStr">
        <is>
          <t>有参转录组（RNA-seq）</t>
        </is>
      </c>
      <c r="H181" s="144" t="inlineStr">
        <is>
          <t>广州奥智生物科技有限公司</t>
        </is>
      </c>
      <c r="I181" s="146" t="n"/>
      <c r="J181" s="144" t="n"/>
      <c r="K181" s="154" t="inlineStr">
        <is>
          <t>26.7.28-1_A7</t>
        </is>
      </c>
      <c r="L181" s="147" t="n"/>
      <c r="M181" s="147" t="n"/>
      <c r="N181" s="147" t="n">
        <v>23.175</v>
      </c>
      <c r="O181" s="147" t="inlineStr">
        <is>
          <t>Illumina Truseq文库</t>
        </is>
      </c>
      <c r="P181" s="147" t="inlineStr">
        <is>
          <t>未磷酸化</t>
        </is>
      </c>
      <c r="Q181" s="147" t="inlineStr">
        <is>
          <t>未环化</t>
        </is>
      </c>
      <c r="R181" s="147" t="inlineStr">
        <is>
          <t>A</t>
        </is>
      </c>
      <c r="S181" s="147" t="n"/>
    </row>
    <row r="182" ht="30" customHeight="1" s="76">
      <c r="A182" s="152" t="n"/>
      <c r="B182" s="144" t="inlineStr">
        <is>
          <t>HGC-Lib-26097370</t>
        </is>
      </c>
      <c r="C182" s="144" t="n">
        <v>33.957</v>
      </c>
      <c r="D182" s="145" t="n">
        <v>5</v>
      </c>
      <c r="E182" s="146">
        <f>ROUND(D182/SUM(D96:D204)*IF(C182="",50,50.0),3)</f>
        <v/>
      </c>
      <c r="F182" s="146">
        <f>ROUND(E182/C182*G205,3)</f>
        <v/>
      </c>
      <c r="G182" s="144" t="inlineStr">
        <is>
          <t>有参转录组（RNA-seq）</t>
        </is>
      </c>
      <c r="H182" s="144" t="inlineStr">
        <is>
          <t>广州奥智生物科技有限公司</t>
        </is>
      </c>
      <c r="I182" s="146" t="n"/>
      <c r="J182" s="144" t="n"/>
      <c r="K182" s="154" t="inlineStr">
        <is>
          <t>26.7.28-1_A8</t>
        </is>
      </c>
      <c r="L182" s="147" t="n"/>
      <c r="M182" s="147" t="n"/>
      <c r="N182" s="147" t="n">
        <v>33.957</v>
      </c>
      <c r="O182" s="147" t="inlineStr">
        <is>
          <t>Illumina Truseq文库</t>
        </is>
      </c>
      <c r="P182" s="147" t="inlineStr">
        <is>
          <t>未磷酸化</t>
        </is>
      </c>
      <c r="Q182" s="147" t="inlineStr">
        <is>
          <t>未环化</t>
        </is>
      </c>
      <c r="R182" s="147" t="inlineStr">
        <is>
          <t>A</t>
        </is>
      </c>
      <c r="S182" s="147" t="n"/>
    </row>
    <row r="183" ht="30" customHeight="1" s="76">
      <c r="A183" s="152" t="n"/>
      <c r="B183" s="144" t="inlineStr">
        <is>
          <t>HGC-Lib-26097371</t>
        </is>
      </c>
      <c r="C183" s="144" t="n">
        <v>19.953</v>
      </c>
      <c r="D183" s="145" t="n">
        <v>5</v>
      </c>
      <c r="E183" s="146">
        <f>ROUND(D183/SUM(D96:D204)*IF(C183="",50,50.0),3)</f>
        <v/>
      </c>
      <c r="F183" s="146">
        <f>ROUND(E183/C183*G205,3)</f>
        <v/>
      </c>
      <c r="G183" s="144" t="inlineStr">
        <is>
          <t>有参转录组（RNA-seq）</t>
        </is>
      </c>
      <c r="H183" s="144" t="inlineStr">
        <is>
          <t>广州奥智生物科技有限公司</t>
        </is>
      </c>
      <c r="I183" s="146" t="n"/>
      <c r="J183" s="144" t="n"/>
      <c r="K183" s="154" t="inlineStr">
        <is>
          <t>26.7.28-1_A9</t>
        </is>
      </c>
      <c r="L183" s="147" t="n"/>
      <c r="M183" s="147" t="n"/>
      <c r="N183" s="147" t="n">
        <v>19.953</v>
      </c>
      <c r="O183" s="147" t="inlineStr">
        <is>
          <t>Illumina Truseq文库</t>
        </is>
      </c>
      <c r="P183" s="147" t="inlineStr">
        <is>
          <t>未磷酸化</t>
        </is>
      </c>
      <c r="Q183" s="147" t="inlineStr">
        <is>
          <t>未环化</t>
        </is>
      </c>
      <c r="R183" s="147" t="inlineStr">
        <is>
          <t>A</t>
        </is>
      </c>
      <c r="S183" s="147" t="n"/>
    </row>
    <row r="184" ht="30" customHeight="1" s="76">
      <c r="A184" s="152" t="n"/>
      <c r="B184" s="144" t="inlineStr">
        <is>
          <t>HGC-Lib-26097373</t>
        </is>
      </c>
      <c r="C184" s="144" t="n">
        <v>29.259</v>
      </c>
      <c r="D184" s="145" t="n">
        <v>5</v>
      </c>
      <c r="E184" s="146">
        <f>ROUND(D184/SUM(D96:D204)*IF(C184="",50,50.0),3)</f>
        <v/>
      </c>
      <c r="F184" s="146">
        <f>ROUND(E184/C184*G205,3)</f>
        <v/>
      </c>
      <c r="G184" s="144" t="inlineStr">
        <is>
          <t>有参转录组（RNA-seq）</t>
        </is>
      </c>
      <c r="H184" s="144" t="inlineStr">
        <is>
          <t>广州奥智生物科技有限公司</t>
        </is>
      </c>
      <c r="I184" s="146" t="n"/>
      <c r="J184" s="144" t="n"/>
      <c r="K184" s="154" t="inlineStr">
        <is>
          <t>26.7.28-1_A11</t>
        </is>
      </c>
      <c r="L184" s="147" t="n"/>
      <c r="M184" s="147" t="n"/>
      <c r="N184" s="147" t="n">
        <v>29.259</v>
      </c>
      <c r="O184" s="147" t="inlineStr">
        <is>
          <t>Illumina Truseq文库</t>
        </is>
      </c>
      <c r="P184" s="147" t="inlineStr">
        <is>
          <t>未磷酸化</t>
        </is>
      </c>
      <c r="Q184" s="147" t="inlineStr">
        <is>
          <t>未环化</t>
        </is>
      </c>
      <c r="R184" s="147" t="inlineStr">
        <is>
          <t>A</t>
        </is>
      </c>
      <c r="S184" s="147" t="n"/>
    </row>
    <row r="185" ht="30" customHeight="1" s="76">
      <c r="A185" s="152" t="n"/>
      <c r="B185" s="144" t="inlineStr">
        <is>
          <t>HGC-Lib-26097374</t>
        </is>
      </c>
      <c r="C185" s="144" t="n">
        <v>51.138</v>
      </c>
      <c r="D185" s="145" t="n">
        <v>5</v>
      </c>
      <c r="E185" s="146">
        <f>ROUND(D185/SUM(D96:D204)*IF(C185="",50,50.0),3)</f>
        <v/>
      </c>
      <c r="F185" s="146">
        <f>ROUND(E185/C185*G205,3)</f>
        <v/>
      </c>
      <c r="G185" s="144" t="inlineStr">
        <is>
          <t>有参转录组（RNA-seq）</t>
        </is>
      </c>
      <c r="H185" s="144" t="inlineStr">
        <is>
          <t>广州奥智生物科技有限公司</t>
        </is>
      </c>
      <c r="I185" s="146" t="n"/>
      <c r="J185" s="144" t="n"/>
      <c r="K185" s="154" t="inlineStr">
        <is>
          <t>26.7.28-1_A12</t>
        </is>
      </c>
      <c r="L185" s="147" t="n"/>
      <c r="M185" s="147" t="n"/>
      <c r="N185" s="147" t="n">
        <v>51.138</v>
      </c>
      <c r="O185" s="147" t="inlineStr">
        <is>
          <t>Illumina Truseq文库</t>
        </is>
      </c>
      <c r="P185" s="147" t="inlineStr">
        <is>
          <t>未磷酸化</t>
        </is>
      </c>
      <c r="Q185" s="147" t="inlineStr">
        <is>
          <t>未环化</t>
        </is>
      </c>
      <c r="R185" s="147" t="inlineStr">
        <is>
          <t>A</t>
        </is>
      </c>
      <c r="S185" s="147" t="n"/>
    </row>
    <row r="186" ht="30" customHeight="1" s="76">
      <c r="A186" s="152" t="n"/>
      <c r="B186" s="144" t="inlineStr">
        <is>
          <t>HGC-Lib-26097375</t>
        </is>
      </c>
      <c r="C186" s="144" t="n">
        <v>45.927</v>
      </c>
      <c r="D186" s="145" t="n">
        <v>5</v>
      </c>
      <c r="E186" s="146">
        <f>ROUND(D186/SUM(D96:D204)*IF(C186="",50,50.0),3)</f>
        <v/>
      </c>
      <c r="F186" s="146">
        <f>ROUND(E186/C186*G205,3)</f>
        <v/>
      </c>
      <c r="G186" s="144" t="inlineStr">
        <is>
          <t>有参转录组（RNA-seq）</t>
        </is>
      </c>
      <c r="H186" s="144" t="inlineStr">
        <is>
          <t>广州奥智生物科技有限公司</t>
        </is>
      </c>
      <c r="I186" s="146" t="n"/>
      <c r="J186" s="144" t="n"/>
      <c r="K186" s="154" t="inlineStr">
        <is>
          <t>26.7.28-1_B1</t>
        </is>
      </c>
      <c r="L186" s="147" t="n"/>
      <c r="M186" s="147" t="n"/>
      <c r="N186" s="147" t="n">
        <v>45.927</v>
      </c>
      <c r="O186" s="147" t="inlineStr">
        <is>
          <t>Illumina Truseq文库</t>
        </is>
      </c>
      <c r="P186" s="147" t="inlineStr">
        <is>
          <t>未磷酸化</t>
        </is>
      </c>
      <c r="Q186" s="147" t="inlineStr">
        <is>
          <t>未环化</t>
        </is>
      </c>
      <c r="R186" s="147" t="inlineStr">
        <is>
          <t>A</t>
        </is>
      </c>
      <c r="S186" s="147" t="n"/>
    </row>
    <row r="187" ht="30" customHeight="1" s="76">
      <c r="A187" s="152" t="n"/>
      <c r="B187" s="144" t="inlineStr">
        <is>
          <t>HGC-Lib-26097376</t>
        </is>
      </c>
      <c r="C187" s="144" t="n">
        <v>60.993</v>
      </c>
      <c r="D187" s="145" t="n">
        <v>5</v>
      </c>
      <c r="E187" s="146">
        <f>ROUND(D187/SUM(D96:D204)*IF(C187="",50,50.0),3)</f>
        <v/>
      </c>
      <c r="F187" s="146">
        <f>ROUND(E187/C187*G205,3)</f>
        <v/>
      </c>
      <c r="G187" s="144" t="inlineStr">
        <is>
          <t>有参转录组（RNA-seq）</t>
        </is>
      </c>
      <c r="H187" s="144" t="inlineStr">
        <is>
          <t>广州奥智生物科技有限公司</t>
        </is>
      </c>
      <c r="I187" s="146" t="n"/>
      <c r="J187" s="144" t="n"/>
      <c r="K187" s="154" t="inlineStr">
        <is>
          <t>26.7.28-1_B2</t>
        </is>
      </c>
      <c r="L187" s="147" t="n"/>
      <c r="M187" s="147" t="n"/>
      <c r="N187" s="147" t="n">
        <v>60.993</v>
      </c>
      <c r="O187" s="147" t="inlineStr">
        <is>
          <t>Illumina Truseq文库</t>
        </is>
      </c>
      <c r="P187" s="147" t="inlineStr">
        <is>
          <t>未磷酸化</t>
        </is>
      </c>
      <c r="Q187" s="147" t="inlineStr">
        <is>
          <t>未环化</t>
        </is>
      </c>
      <c r="R187" s="147" t="inlineStr">
        <is>
          <t>A</t>
        </is>
      </c>
      <c r="S187" s="147" t="n"/>
    </row>
    <row r="188" ht="30" customHeight="1" s="76">
      <c r="A188" s="152" t="n"/>
      <c r="B188" s="144" t="inlineStr">
        <is>
          <t>HGC-Lib-26097377</t>
        </is>
      </c>
      <c r="C188" s="144" t="n">
        <v>80.81100000000001</v>
      </c>
      <c r="D188" s="145" t="n">
        <v>5</v>
      </c>
      <c r="E188" s="146">
        <f>ROUND(D188/SUM(D96:D204)*IF(C188="",50,50.0),3)</f>
        <v/>
      </c>
      <c r="F188" s="146">
        <f>ROUND(E188/C188*G205,3)</f>
        <v/>
      </c>
      <c r="G188" s="144" t="inlineStr">
        <is>
          <t>有参转录组（RNA-seq）</t>
        </is>
      </c>
      <c r="H188" s="144" t="inlineStr">
        <is>
          <t>广州奥智生物科技有限公司</t>
        </is>
      </c>
      <c r="I188" s="146" t="n"/>
      <c r="J188" s="144" t="n"/>
      <c r="K188" s="154" t="inlineStr">
        <is>
          <t>26.7.28-1_B3</t>
        </is>
      </c>
      <c r="L188" s="147" t="n"/>
      <c r="M188" s="147" t="n"/>
      <c r="N188" s="147" t="n">
        <v>80.81100000000001</v>
      </c>
      <c r="O188" s="147" t="inlineStr">
        <is>
          <t>Illumina Truseq文库</t>
        </is>
      </c>
      <c r="P188" s="147" t="inlineStr">
        <is>
          <t>未磷酸化</t>
        </is>
      </c>
      <c r="Q188" s="147" t="inlineStr">
        <is>
          <t>未环化</t>
        </is>
      </c>
      <c r="R188" s="147" t="inlineStr">
        <is>
          <t>A</t>
        </is>
      </c>
      <c r="S188" s="147" t="n"/>
    </row>
    <row r="189" ht="30" customHeight="1" s="76">
      <c r="A189" s="152" t="n"/>
      <c r="B189" s="144" t="inlineStr">
        <is>
          <t>HGC-Lib-26097378</t>
        </is>
      </c>
      <c r="C189" s="144" t="n">
        <v>89.73</v>
      </c>
      <c r="D189" s="145" t="n">
        <v>5</v>
      </c>
      <c r="E189" s="146">
        <f>ROUND(D189/SUM(D96:D204)*IF(C189="",50,50.0),3)</f>
        <v/>
      </c>
      <c r="F189" s="146">
        <f>ROUND(E189/C189*G205,3)</f>
        <v/>
      </c>
      <c r="G189" s="144" t="inlineStr">
        <is>
          <t>有参转录组（RNA-seq）</t>
        </is>
      </c>
      <c r="H189" s="144" t="inlineStr">
        <is>
          <t>广州奥智生物科技有限公司</t>
        </is>
      </c>
      <c r="I189" s="146" t="n"/>
      <c r="J189" s="144" t="n"/>
      <c r="K189" s="154" t="inlineStr">
        <is>
          <t>26.7.28-1_B4</t>
        </is>
      </c>
      <c r="L189" s="147" t="n"/>
      <c r="M189" s="147" t="n"/>
      <c r="N189" s="147" t="n">
        <v>89.73</v>
      </c>
      <c r="O189" s="147" t="inlineStr">
        <is>
          <t>Illumina Truseq文库</t>
        </is>
      </c>
      <c r="P189" s="147" t="inlineStr">
        <is>
          <t>未磷酸化</t>
        </is>
      </c>
      <c r="Q189" s="147" t="inlineStr">
        <is>
          <t>未环化</t>
        </is>
      </c>
      <c r="R189" s="147" t="inlineStr">
        <is>
          <t>A</t>
        </is>
      </c>
      <c r="S189" s="147" t="n"/>
    </row>
    <row r="190" ht="30" customHeight="1" s="76">
      <c r="A190" s="152" t="n"/>
      <c r="B190" s="144" t="inlineStr">
        <is>
          <t>HGC-Lib-26097379</t>
        </is>
      </c>
      <c r="C190" s="144" t="n">
        <v>72.054</v>
      </c>
      <c r="D190" s="145" t="n">
        <v>5</v>
      </c>
      <c r="E190" s="146">
        <f>ROUND(D190/SUM(D96:D204)*IF(C190="",50,50.0),3)</f>
        <v/>
      </c>
      <c r="F190" s="146">
        <f>ROUND(E190/C190*G205,3)</f>
        <v/>
      </c>
      <c r="G190" s="144" t="inlineStr">
        <is>
          <t>有参转录组（RNA-seq）</t>
        </is>
      </c>
      <c r="H190" s="144" t="inlineStr">
        <is>
          <t>广州奥智生物科技有限公司</t>
        </is>
      </c>
      <c r="I190" s="146" t="n"/>
      <c r="J190" s="144" t="n"/>
      <c r="K190" s="154" t="inlineStr">
        <is>
          <t>26.7.28-1_B5</t>
        </is>
      </c>
      <c r="L190" s="147" t="n"/>
      <c r="M190" s="147" t="n"/>
      <c r="N190" s="147" t="n">
        <v>72.054</v>
      </c>
      <c r="O190" s="147" t="inlineStr">
        <is>
          <t>Illumina Truseq文库</t>
        </is>
      </c>
      <c r="P190" s="147" t="inlineStr">
        <is>
          <t>未磷酸化</t>
        </is>
      </c>
      <c r="Q190" s="147" t="inlineStr">
        <is>
          <t>未环化</t>
        </is>
      </c>
      <c r="R190" s="147" t="inlineStr">
        <is>
          <t>A</t>
        </is>
      </c>
      <c r="S190" s="147" t="n"/>
    </row>
    <row r="191" ht="30" customHeight="1" s="76">
      <c r="A191" s="152" t="n"/>
      <c r="B191" s="144" t="inlineStr">
        <is>
          <t>HGC-Lib-26097380</t>
        </is>
      </c>
      <c r="C191" s="144" t="n">
        <v>57.357</v>
      </c>
      <c r="D191" s="145" t="n">
        <v>5</v>
      </c>
      <c r="E191" s="146">
        <f>ROUND(D191/SUM(D96:D204)*IF(C191="",50,50.0),3)</f>
        <v/>
      </c>
      <c r="F191" s="146">
        <f>ROUND(E191/C191*G205,3)</f>
        <v/>
      </c>
      <c r="G191" s="144" t="inlineStr">
        <is>
          <t>有参转录组（RNA-seq）</t>
        </is>
      </c>
      <c r="H191" s="144" t="inlineStr">
        <is>
          <t>广州奥智生物科技有限公司</t>
        </is>
      </c>
      <c r="I191" s="146" t="n"/>
      <c r="J191" s="144" t="n"/>
      <c r="K191" s="154" t="inlineStr">
        <is>
          <t>26.7.28-1_B6</t>
        </is>
      </c>
      <c r="L191" s="147" t="n"/>
      <c r="M191" s="147" t="n"/>
      <c r="N191" s="147" t="n">
        <v>57.357</v>
      </c>
      <c r="O191" s="147" t="inlineStr">
        <is>
          <t>Illumina Truseq文库</t>
        </is>
      </c>
      <c r="P191" s="147" t="inlineStr">
        <is>
          <t>未磷酸化</t>
        </is>
      </c>
      <c r="Q191" s="147" t="inlineStr">
        <is>
          <t>未环化</t>
        </is>
      </c>
      <c r="R191" s="147" t="inlineStr">
        <is>
          <t>A</t>
        </is>
      </c>
      <c r="S191" s="147" t="n"/>
    </row>
    <row r="192" ht="30" customHeight="1" s="76">
      <c r="A192" s="152" t="n"/>
      <c r="B192" s="144" t="inlineStr">
        <is>
          <t>HGC-Lib-26097382</t>
        </is>
      </c>
      <c r="C192" s="144" t="n">
        <v>23.22</v>
      </c>
      <c r="D192" s="145" t="n">
        <v>5</v>
      </c>
      <c r="E192" s="146">
        <f>ROUND(D192/SUM(D96:D204)*IF(C192="",50,50.0),3)</f>
        <v/>
      </c>
      <c r="F192" s="146">
        <f>ROUND(E192/C192*G205,3)</f>
        <v/>
      </c>
      <c r="G192" s="144" t="inlineStr">
        <is>
          <t>有参转录组（RNA-seq）</t>
        </is>
      </c>
      <c r="H192" s="144" t="inlineStr">
        <is>
          <t>广州奥智生物科技有限公司</t>
        </is>
      </c>
      <c r="I192" s="146" t="n"/>
      <c r="J192" s="144" t="n"/>
      <c r="K192" s="154" t="inlineStr">
        <is>
          <t>26.7.28-1_B8</t>
        </is>
      </c>
      <c r="L192" s="147" t="n"/>
      <c r="M192" s="147" t="n"/>
      <c r="N192" s="147" t="n">
        <v>23.22</v>
      </c>
      <c r="O192" s="147" t="inlineStr">
        <is>
          <t>Illumina Truseq文库</t>
        </is>
      </c>
      <c r="P192" s="147" t="inlineStr">
        <is>
          <t>未磷酸化</t>
        </is>
      </c>
      <c r="Q192" s="147" t="inlineStr">
        <is>
          <t>未环化</t>
        </is>
      </c>
      <c r="R192" s="147" t="inlineStr">
        <is>
          <t>A</t>
        </is>
      </c>
      <c r="S192" s="147" t="n"/>
    </row>
    <row r="193" ht="30" customHeight="1" s="76">
      <c r="A193" s="152" t="n"/>
      <c r="B193" s="144" t="inlineStr">
        <is>
          <t>HGC-Lib-26097383</t>
        </is>
      </c>
      <c r="C193" s="144" t="n">
        <v>29.196</v>
      </c>
      <c r="D193" s="145" t="n">
        <v>5</v>
      </c>
      <c r="E193" s="146">
        <f>ROUND(D193/SUM(D96:D204)*IF(C193="",50,50.0),3)</f>
        <v/>
      </c>
      <c r="F193" s="146">
        <f>ROUND(E193/C193*G205,3)</f>
        <v/>
      </c>
      <c r="G193" s="144" t="inlineStr">
        <is>
          <t>有参转录组（RNA-seq）</t>
        </is>
      </c>
      <c r="H193" s="144" t="inlineStr">
        <is>
          <t>广州奥智生物科技有限公司</t>
        </is>
      </c>
      <c r="I193" s="146" t="n"/>
      <c r="J193" s="144" t="n"/>
      <c r="K193" s="154" t="inlineStr">
        <is>
          <t>26.7.28-1_B9</t>
        </is>
      </c>
      <c r="L193" s="147" t="n"/>
      <c r="M193" s="147" t="n"/>
      <c r="N193" s="147" t="n">
        <v>29.196</v>
      </c>
      <c r="O193" s="147" t="inlineStr">
        <is>
          <t>Illumina Truseq文库</t>
        </is>
      </c>
      <c r="P193" s="147" t="inlineStr">
        <is>
          <t>未磷酸化</t>
        </is>
      </c>
      <c r="Q193" s="147" t="inlineStr">
        <is>
          <t>未环化</t>
        </is>
      </c>
      <c r="R193" s="147" t="inlineStr">
        <is>
          <t>A</t>
        </is>
      </c>
      <c r="S193" s="147" t="n"/>
    </row>
    <row r="194" ht="30" customHeight="1" s="76">
      <c r="A194" s="152" t="n"/>
      <c r="B194" s="144" t="inlineStr">
        <is>
          <t>HGC-Lib-26097384</t>
        </is>
      </c>
      <c r="C194" s="144" t="n">
        <v>20.511</v>
      </c>
      <c r="D194" s="145" t="n">
        <v>5</v>
      </c>
      <c r="E194" s="146">
        <f>ROUND(D194/SUM(D96:D204)*IF(C194="",50,50.0),3)</f>
        <v/>
      </c>
      <c r="F194" s="146">
        <f>ROUND(E194/C194*G205,3)</f>
        <v/>
      </c>
      <c r="G194" s="144" t="inlineStr">
        <is>
          <t>有参转录组（RNA-seq）</t>
        </is>
      </c>
      <c r="H194" s="144" t="inlineStr">
        <is>
          <t>广州奥智生物科技有限公司</t>
        </is>
      </c>
      <c r="I194" s="146" t="n"/>
      <c r="J194" s="144" t="n"/>
      <c r="K194" s="154" t="inlineStr">
        <is>
          <t>26.7.28-1_B10</t>
        </is>
      </c>
      <c r="L194" s="147" t="n"/>
      <c r="M194" s="147" t="n"/>
      <c r="N194" s="147" t="n">
        <v>20.511</v>
      </c>
      <c r="O194" s="147" t="inlineStr">
        <is>
          <t>Illumina Truseq文库</t>
        </is>
      </c>
      <c r="P194" s="147" t="inlineStr">
        <is>
          <t>未磷酸化</t>
        </is>
      </c>
      <c r="Q194" s="147" t="inlineStr">
        <is>
          <t>未环化</t>
        </is>
      </c>
      <c r="R194" s="147" t="inlineStr">
        <is>
          <t>A</t>
        </is>
      </c>
      <c r="S194" s="147" t="n"/>
    </row>
    <row r="195" ht="30" customHeight="1" s="76">
      <c r="A195" s="152" t="n"/>
      <c r="B195" s="144" t="inlineStr">
        <is>
          <t>HGC-Lib-26097387</t>
        </is>
      </c>
      <c r="C195" s="144" t="n">
        <v>79.398</v>
      </c>
      <c r="D195" s="145" t="n">
        <v>5</v>
      </c>
      <c r="E195" s="146">
        <f>ROUND(D195/SUM(D96:D204)*IF(C195="",50,50.0),3)</f>
        <v/>
      </c>
      <c r="F195" s="146">
        <f>ROUND(E195/C195*G205,3)</f>
        <v/>
      </c>
      <c r="G195" s="144" t="inlineStr">
        <is>
          <t>有参转录组（RNA-seq）</t>
        </is>
      </c>
      <c r="H195" s="144" t="inlineStr">
        <is>
          <t>广州奥智生物科技有限公司</t>
        </is>
      </c>
      <c r="I195" s="146" t="n"/>
      <c r="J195" s="144" t="n"/>
      <c r="K195" s="154" t="inlineStr">
        <is>
          <t>26.7.28-1_C1</t>
        </is>
      </c>
      <c r="L195" s="147" t="n"/>
      <c r="M195" s="147" t="n"/>
      <c r="N195" s="147" t="n">
        <v>79.398</v>
      </c>
      <c r="O195" s="147" t="inlineStr">
        <is>
          <t>Illumina Truseq文库</t>
        </is>
      </c>
      <c r="P195" s="147" t="inlineStr">
        <is>
          <t>未磷酸化</t>
        </is>
      </c>
      <c r="Q195" s="147" t="inlineStr">
        <is>
          <t>未环化</t>
        </is>
      </c>
      <c r="R195" s="147" t="inlineStr">
        <is>
          <t>A</t>
        </is>
      </c>
      <c r="S195" s="147" t="n"/>
    </row>
    <row r="196" ht="30" customHeight="1" s="76">
      <c r="A196" s="152" t="n"/>
      <c r="B196" s="144" t="inlineStr">
        <is>
          <t>HGC-Lib-26097388</t>
        </is>
      </c>
      <c r="C196" s="144" t="n">
        <v>30.96</v>
      </c>
      <c r="D196" s="145" t="n">
        <v>5</v>
      </c>
      <c r="E196" s="146">
        <f>ROUND(D196/SUM(D96:D204)*IF(C196="",50,50.0),3)</f>
        <v/>
      </c>
      <c r="F196" s="146">
        <f>ROUND(E196/C196*G205,3)</f>
        <v/>
      </c>
      <c r="G196" s="144" t="inlineStr">
        <is>
          <t>有参转录组（RNA-seq）</t>
        </is>
      </c>
      <c r="H196" s="144" t="inlineStr">
        <is>
          <t>广州奥智生物科技有限公司</t>
        </is>
      </c>
      <c r="I196" s="146" t="n"/>
      <c r="J196" s="144" t="n"/>
      <c r="K196" s="154" t="inlineStr">
        <is>
          <t>26.7.28-1_C2</t>
        </is>
      </c>
      <c r="L196" s="147" t="n"/>
      <c r="M196" s="147" t="n"/>
      <c r="N196" s="147" t="n">
        <v>30.96</v>
      </c>
      <c r="O196" s="147" t="inlineStr">
        <is>
          <t>Illumina Truseq文库</t>
        </is>
      </c>
      <c r="P196" s="147" t="inlineStr">
        <is>
          <t>未磷酸化</t>
        </is>
      </c>
      <c r="Q196" s="147" t="inlineStr">
        <is>
          <t>未环化</t>
        </is>
      </c>
      <c r="R196" s="147" t="inlineStr">
        <is>
          <t>A</t>
        </is>
      </c>
      <c r="S196" s="147" t="n"/>
    </row>
    <row r="197" ht="30" customHeight="1" s="76">
      <c r="A197" s="152" t="n"/>
      <c r="B197" s="144" t="inlineStr">
        <is>
          <t>HGC-Lib-26097389</t>
        </is>
      </c>
      <c r="C197" s="144" t="n">
        <v>31.5</v>
      </c>
      <c r="D197" s="145" t="n">
        <v>5</v>
      </c>
      <c r="E197" s="146">
        <f>ROUND(D197/SUM(D96:D204)*IF(C197="",50,50.0),3)</f>
        <v/>
      </c>
      <c r="F197" s="146">
        <f>ROUND(E197/C197*G205,3)</f>
        <v/>
      </c>
      <c r="G197" s="144" t="inlineStr">
        <is>
          <t>有参转录组（RNA-seq）</t>
        </is>
      </c>
      <c r="H197" s="144" t="inlineStr">
        <is>
          <t>广州奥智生物科技有限公司</t>
        </is>
      </c>
      <c r="I197" s="146" t="n"/>
      <c r="J197" s="144" t="n"/>
      <c r="K197" s="154" t="inlineStr">
        <is>
          <t>26.7.28-1_C3</t>
        </is>
      </c>
      <c r="L197" s="147" t="n"/>
      <c r="M197" s="147" t="n"/>
      <c r="N197" s="147" t="n">
        <v>31.5</v>
      </c>
      <c r="O197" s="147" t="inlineStr">
        <is>
          <t>Illumina Truseq文库</t>
        </is>
      </c>
      <c r="P197" s="147" t="inlineStr">
        <is>
          <t>未磷酸化</t>
        </is>
      </c>
      <c r="Q197" s="147" t="inlineStr">
        <is>
          <t>未环化</t>
        </is>
      </c>
      <c r="R197" s="147" t="inlineStr">
        <is>
          <t>A</t>
        </is>
      </c>
      <c r="S197" s="147" t="n"/>
    </row>
    <row r="198" ht="30" customHeight="1" s="76">
      <c r="A198" s="152" t="n"/>
      <c r="B198" s="144" t="inlineStr">
        <is>
          <t>HGC-Lib-26097390</t>
        </is>
      </c>
      <c r="C198" s="144" t="n">
        <v>25.02</v>
      </c>
      <c r="D198" s="145" t="n">
        <v>5</v>
      </c>
      <c r="E198" s="146">
        <f>ROUND(D198/SUM(D96:D204)*IF(C198="",50,50.0),3)</f>
        <v/>
      </c>
      <c r="F198" s="146">
        <f>ROUND(E198/C198*G205,3)</f>
        <v/>
      </c>
      <c r="G198" s="144" t="inlineStr">
        <is>
          <t>有参转录组（RNA-seq）</t>
        </is>
      </c>
      <c r="H198" s="144" t="inlineStr">
        <is>
          <t>广州奥智生物科技有限公司</t>
        </is>
      </c>
      <c r="I198" s="146" t="n"/>
      <c r="J198" s="144" t="n"/>
      <c r="K198" s="154" t="inlineStr">
        <is>
          <t>26.7.28-1_C4</t>
        </is>
      </c>
      <c r="L198" s="147" t="n"/>
      <c r="M198" s="147" t="n"/>
      <c r="N198" s="147" t="n">
        <v>25.02</v>
      </c>
      <c r="O198" s="147" t="inlineStr">
        <is>
          <t>Illumina Truseq文库</t>
        </is>
      </c>
      <c r="P198" s="147" t="inlineStr">
        <is>
          <t>未磷酸化</t>
        </is>
      </c>
      <c r="Q198" s="147" t="inlineStr">
        <is>
          <t>未环化</t>
        </is>
      </c>
      <c r="R198" s="147" t="inlineStr">
        <is>
          <t>A</t>
        </is>
      </c>
      <c r="S198" s="147" t="n"/>
    </row>
    <row r="199" ht="30" customHeight="1" s="76">
      <c r="A199" s="152" t="n"/>
      <c r="B199" s="144" t="inlineStr">
        <is>
          <t>HGC-Lib-26097391</t>
        </is>
      </c>
      <c r="C199" s="144" t="n">
        <v>28.8</v>
      </c>
      <c r="D199" s="145" t="n">
        <v>5</v>
      </c>
      <c r="E199" s="146">
        <f>ROUND(D199/SUM(D96:D204)*IF(C199="",50,50.0),3)</f>
        <v/>
      </c>
      <c r="F199" s="146">
        <f>ROUND(E199/C199*G205,3)</f>
        <v/>
      </c>
      <c r="G199" s="144" t="inlineStr">
        <is>
          <t>有参转录组（RNA-seq）</t>
        </is>
      </c>
      <c r="H199" s="144" t="inlineStr">
        <is>
          <t>广州奥智生物科技有限公司</t>
        </is>
      </c>
      <c r="I199" s="146" t="n"/>
      <c r="J199" s="144" t="n"/>
      <c r="K199" s="154" t="inlineStr">
        <is>
          <t>26.7.28-1_C5</t>
        </is>
      </c>
      <c r="L199" s="147" t="n"/>
      <c r="M199" s="147" t="n"/>
      <c r="N199" s="147" t="n">
        <v>28.8</v>
      </c>
      <c r="O199" s="147" t="inlineStr">
        <is>
          <t>Illumina Truseq文库</t>
        </is>
      </c>
      <c r="P199" s="147" t="inlineStr">
        <is>
          <t>未磷酸化</t>
        </is>
      </c>
      <c r="Q199" s="147" t="inlineStr">
        <is>
          <t>未环化</t>
        </is>
      </c>
      <c r="R199" s="147" t="inlineStr">
        <is>
          <t>A</t>
        </is>
      </c>
      <c r="S199" s="147" t="n"/>
    </row>
    <row r="200" ht="30" customHeight="1" s="76">
      <c r="A200" s="152" t="n"/>
      <c r="B200" s="144" t="inlineStr">
        <is>
          <t>HGC-Lib-26097392</t>
        </is>
      </c>
      <c r="C200" s="144" t="n">
        <v>32.76</v>
      </c>
      <c r="D200" s="145" t="n">
        <v>5</v>
      </c>
      <c r="E200" s="146">
        <f>ROUND(D200/SUM(D96:D204)*IF(C200="",50,50.0),3)</f>
        <v/>
      </c>
      <c r="F200" s="146">
        <f>ROUND(E200/C200*G205,3)</f>
        <v/>
      </c>
      <c r="G200" s="144" t="inlineStr">
        <is>
          <t>有参转录组（RNA-seq）</t>
        </is>
      </c>
      <c r="H200" s="144" t="inlineStr">
        <is>
          <t>广州奥智生物科技有限公司</t>
        </is>
      </c>
      <c r="I200" s="146" t="n"/>
      <c r="J200" s="144" t="n"/>
      <c r="K200" s="154" t="inlineStr">
        <is>
          <t>26.7.28-1_C6</t>
        </is>
      </c>
      <c r="L200" s="147" t="n"/>
      <c r="M200" s="147" t="n"/>
      <c r="N200" s="147" t="n">
        <v>32.76</v>
      </c>
      <c r="O200" s="147" t="inlineStr">
        <is>
          <t>Illumina Truseq文库</t>
        </is>
      </c>
      <c r="P200" s="147" t="inlineStr">
        <is>
          <t>未磷酸化</t>
        </is>
      </c>
      <c r="Q200" s="147" t="inlineStr">
        <is>
          <t>未环化</t>
        </is>
      </c>
      <c r="R200" s="147" t="inlineStr">
        <is>
          <t>A</t>
        </is>
      </c>
      <c r="S200" s="147" t="n"/>
    </row>
    <row r="201" ht="30" customHeight="1" s="76">
      <c r="A201" s="152" t="n"/>
      <c r="B201" s="144" t="inlineStr">
        <is>
          <t>HGC-Lib-26097393</t>
        </is>
      </c>
      <c r="C201" s="144" t="n">
        <v>31.5</v>
      </c>
      <c r="D201" s="145" t="n">
        <v>5</v>
      </c>
      <c r="E201" s="146">
        <f>ROUND(D201/SUM(D96:D204)*IF(C201="",50,50.0),3)</f>
        <v/>
      </c>
      <c r="F201" s="146">
        <f>ROUND(E201/C201*G205,3)</f>
        <v/>
      </c>
      <c r="G201" s="144" t="inlineStr">
        <is>
          <t>有参转录组（RNA-seq）</t>
        </is>
      </c>
      <c r="H201" s="144" t="inlineStr">
        <is>
          <t>广州奥智生物科技有限公司</t>
        </is>
      </c>
      <c r="I201" s="146" t="n"/>
      <c r="J201" s="144" t="n"/>
      <c r="K201" s="154" t="inlineStr">
        <is>
          <t>26.7.28-1_C7</t>
        </is>
      </c>
      <c r="L201" s="147" t="n"/>
      <c r="M201" s="147" t="n"/>
      <c r="N201" s="147" t="n">
        <v>31.5</v>
      </c>
      <c r="O201" s="147" t="inlineStr">
        <is>
          <t>Illumina Truseq文库</t>
        </is>
      </c>
      <c r="P201" s="147" t="inlineStr">
        <is>
          <t>未磷酸化</t>
        </is>
      </c>
      <c r="Q201" s="147" t="inlineStr">
        <is>
          <t>未环化</t>
        </is>
      </c>
      <c r="R201" s="147" t="inlineStr">
        <is>
          <t>A</t>
        </is>
      </c>
      <c r="S201" s="147" t="n"/>
    </row>
    <row r="202" ht="30" customHeight="1" s="76">
      <c r="A202" s="152" t="n"/>
      <c r="B202" s="144" t="inlineStr">
        <is>
          <t>HGC-Lib-26097394</t>
        </is>
      </c>
      <c r="C202" s="144" t="n">
        <v>29.52</v>
      </c>
      <c r="D202" s="145" t="n">
        <v>5</v>
      </c>
      <c r="E202" s="146">
        <f>ROUND(D202/SUM(D96:D204)*IF(C202="",50,50.0),3)</f>
        <v/>
      </c>
      <c r="F202" s="146">
        <f>ROUND(E202/C202*G205,3)</f>
        <v/>
      </c>
      <c r="G202" s="144" t="inlineStr">
        <is>
          <t>有参转录组（RNA-seq）</t>
        </is>
      </c>
      <c r="H202" s="144" t="inlineStr">
        <is>
          <t>广州奥智生物科技有限公司</t>
        </is>
      </c>
      <c r="I202" s="146" t="n"/>
      <c r="J202" s="144" t="n"/>
      <c r="K202" s="154" t="inlineStr">
        <is>
          <t>26.7.28-1_C8</t>
        </is>
      </c>
      <c r="L202" s="147" t="n"/>
      <c r="M202" s="147" t="n"/>
      <c r="N202" s="147" t="n">
        <v>29.52</v>
      </c>
      <c r="O202" s="147" t="inlineStr">
        <is>
          <t>Illumina Truseq文库</t>
        </is>
      </c>
      <c r="P202" s="147" t="inlineStr">
        <is>
          <t>未磷酸化</t>
        </is>
      </c>
      <c r="Q202" s="147" t="inlineStr">
        <is>
          <t>未环化</t>
        </is>
      </c>
      <c r="R202" s="147" t="inlineStr">
        <is>
          <t>A</t>
        </is>
      </c>
      <c r="S202" s="147" t="n"/>
    </row>
    <row r="203" ht="30" customHeight="1" s="76">
      <c r="A203" s="152" t="n"/>
      <c r="B203" s="144" t="inlineStr">
        <is>
          <t>HGC-Lib-26097395</t>
        </is>
      </c>
      <c r="C203" s="144" t="n">
        <v>28.98</v>
      </c>
      <c r="D203" s="145" t="n">
        <v>5</v>
      </c>
      <c r="E203" s="146">
        <f>ROUND(D203/SUM(D96:D204)*IF(C203="",50,50.0),3)</f>
        <v/>
      </c>
      <c r="F203" s="146">
        <f>ROUND(E203/C203*G205,3)</f>
        <v/>
      </c>
      <c r="G203" s="144" t="inlineStr">
        <is>
          <t>有参转录组（RNA-seq）</t>
        </is>
      </c>
      <c r="H203" s="144" t="inlineStr">
        <is>
          <t>广州奥智生物科技有限公司</t>
        </is>
      </c>
      <c r="I203" s="146" t="n"/>
      <c r="J203" s="144" t="n"/>
      <c r="K203" s="154" t="inlineStr">
        <is>
          <t>26.7.28-1_C9</t>
        </is>
      </c>
      <c r="L203" s="147" t="n"/>
      <c r="M203" s="147" t="n"/>
      <c r="N203" s="147" t="n">
        <v>28.98</v>
      </c>
      <c r="O203" s="147" t="inlineStr">
        <is>
          <t>Illumina Truseq文库</t>
        </is>
      </c>
      <c r="P203" s="147" t="inlineStr">
        <is>
          <t>未磷酸化</t>
        </is>
      </c>
      <c r="Q203" s="147" t="inlineStr">
        <is>
          <t>未环化</t>
        </is>
      </c>
      <c r="R203" s="147" t="inlineStr">
        <is>
          <t>A</t>
        </is>
      </c>
      <c r="S203" s="147" t="n"/>
    </row>
    <row r="204" ht="30" customHeight="1" s="76">
      <c r="A204" s="153" t="n"/>
      <c r="B204" s="144" t="inlineStr">
        <is>
          <t>HGC-Lib-26097396</t>
        </is>
      </c>
      <c r="C204" s="144" t="n">
        <v>33.66</v>
      </c>
      <c r="D204" s="145" t="n">
        <v>5</v>
      </c>
      <c r="E204" s="146">
        <f>ROUND(D204/SUM(D96:D204)*IF(C204="",50,50.0),3)</f>
        <v/>
      </c>
      <c r="F204" s="146">
        <f>ROUND(E204/C204*G205,3)</f>
        <v/>
      </c>
      <c r="G204" s="144" t="inlineStr">
        <is>
          <t>有参转录组（RNA-seq）</t>
        </is>
      </c>
      <c r="H204" s="144" t="inlineStr">
        <is>
          <t>广州奥智生物科技有限公司</t>
        </is>
      </c>
      <c r="I204" s="146" t="n"/>
      <c r="J204" s="144" t="n"/>
      <c r="K204" s="154" t="inlineStr">
        <is>
          <t>26.7.28-1_C10</t>
        </is>
      </c>
      <c r="L204" s="147" t="n"/>
      <c r="M204" s="147" t="n"/>
      <c r="N204" s="147" t="n">
        <v>33.66</v>
      </c>
      <c r="O204" s="147" t="inlineStr">
        <is>
          <t>Illumina Truseq文库</t>
        </is>
      </c>
      <c r="P204" s="147" t="inlineStr">
        <is>
          <t>未磷酸化</t>
        </is>
      </c>
      <c r="Q204" s="147" t="inlineStr">
        <is>
          <t>未环化</t>
        </is>
      </c>
      <c r="R204" s="147" t="inlineStr">
        <is>
          <t>A</t>
        </is>
      </c>
      <c r="S204" s="147" t="n"/>
    </row>
    <row r="205" ht="30" customHeight="1" s="76">
      <c r="A205" s="148" t="n"/>
      <c r="B205" s="147" t="n">
        <v>109</v>
      </c>
      <c r="C205" s="148" t="n"/>
      <c r="D205" s="149">
        <f>ROUND(SUM(D96:D204),2)</f>
        <v/>
      </c>
      <c r="E205" s="150">
        <f>ROUND(SUM(E96:E204),3)</f>
        <v/>
      </c>
      <c r="F205" s="150">
        <f>IF(G205&gt;1,ROUND(SUM(F96:F204)/G205*2,3),ROUND(SUM(F96:F204),3))</f>
        <v/>
      </c>
      <c r="G205" s="147" t="n">
        <v>201</v>
      </c>
      <c r="H205" s="148" t="n"/>
      <c r="I205" s="151">
        <f>ROUND(20-F205,3)</f>
        <v/>
      </c>
      <c r="J205" s="148" t="n"/>
      <c r="K205" s="148" t="n"/>
      <c r="L205" s="148" t="n"/>
      <c r="M205" s="147">
        <f>AVERAGE(M96:M204)</f>
        <v/>
      </c>
      <c r="N205" s="148" t="n"/>
      <c r="O205" s="148" t="n"/>
      <c r="P205" s="148" t="n"/>
      <c r="Q205" s="148" t="n"/>
      <c r="R205" s="148" t="n"/>
      <c r="S205" s="148" t="n"/>
    </row>
    <row r="206" ht="30" customHeight="1" s="76">
      <c r="A206" s="144" t="inlineStr">
        <is>
          <t>B7</t>
        </is>
      </c>
      <c r="B206" s="144" t="inlineStr">
        <is>
          <t>HGC-Lib-26097201</t>
        </is>
      </c>
      <c r="C206" s="144" t="n">
        <v>10.49</v>
      </c>
      <c r="D206" s="145" t="n">
        <v>5</v>
      </c>
      <c r="E206" s="146">
        <f>ROUND(D206/SUM(D206:D211)*IF(C206="",50,50.0),3)</f>
        <v/>
      </c>
      <c r="F206" s="146">
        <f>ROUND(E206/C206*G212,3)</f>
        <v/>
      </c>
      <c r="G206" s="144" t="inlineStr">
        <is>
          <t>有参转录组（RNA-seq）</t>
        </is>
      </c>
      <c r="H206" s="144" t="inlineStr">
        <is>
          <t>广州奥智生物科技有限公司</t>
        </is>
      </c>
      <c r="I206" s="146" t="n"/>
      <c r="J206" s="144" t="n"/>
      <c r="K206" s="144" t="n"/>
      <c r="L206" s="147" t="n"/>
      <c r="M206" s="147" t="n"/>
      <c r="N206" s="147" t="n">
        <v>10.49</v>
      </c>
      <c r="O206" s="147" t="inlineStr">
        <is>
          <t>Illumina Truseq文库</t>
        </is>
      </c>
      <c r="P206" s="147" t="inlineStr">
        <is>
          <t>未磷酸化</t>
        </is>
      </c>
      <c r="Q206" s="147" t="inlineStr">
        <is>
          <t>未环化</t>
        </is>
      </c>
      <c r="R206" s="147" t="inlineStr">
        <is>
          <t>A</t>
        </is>
      </c>
      <c r="S206" s="147" t="n"/>
    </row>
    <row r="207" ht="30" customHeight="1" s="76">
      <c r="A207" s="152" t="n"/>
      <c r="B207" s="144" t="inlineStr">
        <is>
          <t>HGC-Lib-26097202</t>
        </is>
      </c>
      <c r="C207" s="144" t="n">
        <v>4.35</v>
      </c>
      <c r="D207" s="145" t="n">
        <v>5</v>
      </c>
      <c r="E207" s="146">
        <f>ROUND(D207/SUM(D206:D211)*IF(C207="",50,50.0),3)</f>
        <v/>
      </c>
      <c r="F207" s="146">
        <f>ROUND(E207/C207*G212,3)</f>
        <v/>
      </c>
      <c r="G207" s="144" t="inlineStr">
        <is>
          <t>有参转录组（RNA-seq）</t>
        </is>
      </c>
      <c r="H207" s="144" t="inlineStr">
        <is>
          <t>广州奥智生物科技有限公司</t>
        </is>
      </c>
      <c r="I207" s="146" t="n"/>
      <c r="J207" s="144" t="n"/>
      <c r="K207" s="144" t="n"/>
      <c r="L207" s="147" t="n"/>
      <c r="M207" s="147" t="n"/>
      <c r="N207" s="147" t="n">
        <v>4.35</v>
      </c>
      <c r="O207" s="147" t="inlineStr">
        <is>
          <t>Illumina Truseq文库</t>
        </is>
      </c>
      <c r="P207" s="147" t="inlineStr">
        <is>
          <t>未磷酸化</t>
        </is>
      </c>
      <c r="Q207" s="147" t="inlineStr">
        <is>
          <t>未环化</t>
        </is>
      </c>
      <c r="R207" s="147" t="inlineStr">
        <is>
          <t>A</t>
        </is>
      </c>
      <c r="S207" s="147" t="n"/>
    </row>
    <row r="208" ht="30" customHeight="1" s="76">
      <c r="A208" s="152" t="n"/>
      <c r="B208" s="144" t="inlineStr">
        <is>
          <t>HGC-Lib-26097372</t>
        </is>
      </c>
      <c r="C208" s="144" t="n">
        <v>3.195</v>
      </c>
      <c r="D208" s="145" t="n">
        <v>5</v>
      </c>
      <c r="E208" s="146">
        <f>ROUND(D208/SUM(D206:D211)*IF(C208="",50,50.0),3)</f>
        <v/>
      </c>
      <c r="F208" s="146">
        <f>ROUND(E208/C208*G212,3)</f>
        <v/>
      </c>
      <c r="G208" s="144" t="inlineStr">
        <is>
          <t>有参转录组（RNA-seq）</t>
        </is>
      </c>
      <c r="H208" s="144" t="inlineStr">
        <is>
          <t>广州奥智生物科技有限公司</t>
        </is>
      </c>
      <c r="I208" s="146" t="n"/>
      <c r="J208" s="144" t="n"/>
      <c r="K208" s="144" t="inlineStr">
        <is>
          <t>26.7.28-1_A10</t>
        </is>
      </c>
      <c r="L208" s="147" t="n"/>
      <c r="M208" s="147" t="n"/>
      <c r="N208" s="147" t="n">
        <v>3.195</v>
      </c>
      <c r="O208" s="147" t="inlineStr">
        <is>
          <t>Illumina Truseq文库</t>
        </is>
      </c>
      <c r="P208" s="147" t="inlineStr">
        <is>
          <t>未磷酸化</t>
        </is>
      </c>
      <c r="Q208" s="147" t="inlineStr">
        <is>
          <t>未环化</t>
        </is>
      </c>
      <c r="R208" s="147" t="inlineStr">
        <is>
          <t>A</t>
        </is>
      </c>
      <c r="S208" s="147" t="n"/>
    </row>
    <row r="209" ht="30" customHeight="1" s="76">
      <c r="A209" s="152" t="n"/>
      <c r="B209" s="144" t="inlineStr">
        <is>
          <t>HGC-Lib-26097381</t>
        </is>
      </c>
      <c r="C209" s="144" t="n">
        <v>8.451000000000001</v>
      </c>
      <c r="D209" s="145" t="n">
        <v>5</v>
      </c>
      <c r="E209" s="146">
        <f>ROUND(D209/SUM(D206:D211)*IF(C209="",50,50.0),3)</f>
        <v/>
      </c>
      <c r="F209" s="146">
        <f>ROUND(E209/C209*G212,3)</f>
        <v/>
      </c>
      <c r="G209" s="144" t="inlineStr">
        <is>
          <t>有参转录组（RNA-seq）</t>
        </is>
      </c>
      <c r="H209" s="144" t="inlineStr">
        <is>
          <t>广州奥智生物科技有限公司</t>
        </is>
      </c>
      <c r="I209" s="146" t="n"/>
      <c r="J209" s="144" t="n"/>
      <c r="K209" s="144" t="inlineStr">
        <is>
          <t>26.7.28-1_B7</t>
        </is>
      </c>
      <c r="L209" s="147" t="n"/>
      <c r="M209" s="147" t="n"/>
      <c r="N209" s="147" t="n">
        <v>8.451000000000001</v>
      </c>
      <c r="O209" s="147" t="inlineStr">
        <is>
          <t>Illumina Truseq文库</t>
        </is>
      </c>
      <c r="P209" s="147" t="inlineStr">
        <is>
          <t>未磷酸化</t>
        </is>
      </c>
      <c r="Q209" s="147" t="inlineStr">
        <is>
          <t>未环化</t>
        </is>
      </c>
      <c r="R209" s="147" t="inlineStr">
        <is>
          <t>A</t>
        </is>
      </c>
      <c r="S209" s="147" t="n"/>
    </row>
    <row r="210" ht="30" customHeight="1" s="76">
      <c r="A210" s="152" t="n"/>
      <c r="B210" s="144" t="inlineStr">
        <is>
          <t>HGC-Lib-26097385</t>
        </is>
      </c>
      <c r="C210" s="144" t="n">
        <v>11.943</v>
      </c>
      <c r="D210" s="145" t="n">
        <v>5</v>
      </c>
      <c r="E210" s="146">
        <f>ROUND(D210/SUM(D206:D211)*IF(C210="",50,50.0),3)</f>
        <v/>
      </c>
      <c r="F210" s="146">
        <f>ROUND(E210/C210*G212,3)</f>
        <v/>
      </c>
      <c r="G210" s="144" t="inlineStr">
        <is>
          <t>有参转录组（RNA-seq）</t>
        </is>
      </c>
      <c r="H210" s="144" t="inlineStr">
        <is>
          <t>广州奥智生物科技有限公司</t>
        </is>
      </c>
      <c r="I210" s="146" t="n"/>
      <c r="J210" s="144" t="n"/>
      <c r="K210" s="144" t="inlineStr">
        <is>
          <t>26.7.28-1_B11</t>
        </is>
      </c>
      <c r="L210" s="147" t="n"/>
      <c r="M210" s="147" t="n"/>
      <c r="N210" s="147" t="n">
        <v>11.943</v>
      </c>
      <c r="O210" s="147" t="inlineStr">
        <is>
          <t>Illumina Truseq文库</t>
        </is>
      </c>
      <c r="P210" s="147" t="inlineStr">
        <is>
          <t>未磷酸化</t>
        </is>
      </c>
      <c r="Q210" s="147" t="inlineStr">
        <is>
          <t>未环化</t>
        </is>
      </c>
      <c r="R210" s="147" t="inlineStr">
        <is>
          <t>A</t>
        </is>
      </c>
      <c r="S210" s="147" t="n"/>
    </row>
    <row r="211" ht="30" customHeight="1" s="76">
      <c r="A211" s="153" t="n"/>
      <c r="B211" s="144" t="inlineStr">
        <is>
          <t>HGC-Lib-26097386</t>
        </is>
      </c>
      <c r="C211" s="144" t="n">
        <v>5.814</v>
      </c>
      <c r="D211" s="145" t="n">
        <v>5</v>
      </c>
      <c r="E211" s="146">
        <f>ROUND(D211/SUM(D206:D211)*IF(C211="",50,50.0),3)</f>
        <v/>
      </c>
      <c r="F211" s="146">
        <f>ROUND(E211/C211*G212,3)</f>
        <v/>
      </c>
      <c r="G211" s="144" t="inlineStr">
        <is>
          <t>有参转录组（RNA-seq）</t>
        </is>
      </c>
      <c r="H211" s="144" t="inlineStr">
        <is>
          <t>广州奥智生物科技有限公司</t>
        </is>
      </c>
      <c r="I211" s="146" t="n"/>
      <c r="J211" s="144" t="n"/>
      <c r="K211" s="144" t="inlineStr">
        <is>
          <t>26.7.28-1_B12</t>
        </is>
      </c>
      <c r="L211" s="147" t="n"/>
      <c r="M211" s="147" t="n"/>
      <c r="N211" s="147" t="n">
        <v>5.814</v>
      </c>
      <c r="O211" s="147" t="inlineStr">
        <is>
          <t>Illumina Truseq文库</t>
        </is>
      </c>
      <c r="P211" s="147" t="inlineStr">
        <is>
          <t>未磷酸化</t>
        </is>
      </c>
      <c r="Q211" s="147" t="inlineStr">
        <is>
          <t>未环化</t>
        </is>
      </c>
      <c r="R211" s="147" t="inlineStr">
        <is>
          <t>A</t>
        </is>
      </c>
      <c r="S211" s="147" t="n"/>
    </row>
    <row r="212" ht="30" customHeight="1" s="76">
      <c r="A212" s="148" t="n"/>
      <c r="B212" s="147" t="n">
        <v>6</v>
      </c>
      <c r="C212" s="148" t="n"/>
      <c r="D212" s="149">
        <f>ROUND(SUM(D206:D211),2)</f>
        <v/>
      </c>
      <c r="E212" s="150">
        <f>ROUND(SUM(E206:E211),3)</f>
        <v/>
      </c>
      <c r="F212" s="150">
        <f>IF(G212&gt;1,ROUND(SUM(F206:F211)/G212*2,3),ROUND(SUM(F206:F211),3))</f>
        <v/>
      </c>
      <c r="G212" s="147" t="n">
        <v>2</v>
      </c>
      <c r="H212" s="148" t="n"/>
      <c r="I212" s="151">
        <f>ROUND(20-F212,3)</f>
        <v/>
      </c>
      <c r="J212" s="148" t="n"/>
      <c r="K212" s="148" t="n"/>
      <c r="L212" s="148" t="n"/>
      <c r="M212" s="147">
        <f>AVERAGE(M206:M211)</f>
        <v/>
      </c>
      <c r="N212" s="148" t="n"/>
      <c r="O212" s="148" t="n"/>
      <c r="P212" s="148" t="n"/>
      <c r="Q212" s="148" t="n"/>
      <c r="R212" s="148" t="n"/>
      <c r="S212" s="148" t="n"/>
    </row>
    <row r="213" ht="30" customHeight="1" s="76">
      <c r="A213" s="144" t="inlineStr">
        <is>
          <t>B8</t>
        </is>
      </c>
      <c r="B213" s="144" t="inlineStr">
        <is>
          <t>HGC-Lib-26099127</t>
        </is>
      </c>
      <c r="C213" s="144" t="n"/>
      <c r="D213" s="145" t="n">
        <v>30</v>
      </c>
      <c r="E213" s="146">
        <f>ROUND(D213/SUM(D213:D213)*IF(C213="",50,50.0),3)</f>
        <v/>
      </c>
      <c r="F213" s="146">
        <f>ROUND(E213/C213*G214,3)</f>
        <v/>
      </c>
      <c r="G213" s="144" t="inlineStr">
        <is>
          <t>singleron-3'转录组文库</t>
        </is>
      </c>
      <c r="H213" s="144" t="inlineStr">
        <is>
          <t>南京通元医学检验实验室有限公司</t>
        </is>
      </c>
      <c r="I213" s="146" t="n"/>
      <c r="J213" s="144" t="n"/>
      <c r="K213" s="144" t="n"/>
      <c r="L213" s="147" t="n"/>
      <c r="M213" s="147" t="n"/>
      <c r="N213" s="147" t="n"/>
      <c r="O213" s="147" t="n"/>
      <c r="P213" s="147" t="n"/>
      <c r="Q213" s="147" t="n"/>
      <c r="R213" s="147" t="n"/>
      <c r="S213" s="147" t="n"/>
    </row>
    <row r="214" ht="30" customHeight="1" s="76">
      <c r="A214" s="148" t="n"/>
      <c r="B214" s="147" t="n">
        <v>1</v>
      </c>
      <c r="C214" s="148" t="n"/>
      <c r="D214" s="149">
        <f>ROUND(SUM(D213:D213),2)</f>
        <v/>
      </c>
      <c r="E214" s="150">
        <f>ROUND(SUM(E213:E213),3)</f>
        <v/>
      </c>
      <c r="F214" s="150">
        <f>IF(G214&gt;1,ROUND(SUM(F213:F213)/G214*2,3),ROUND(SUM(F213:F213),3))</f>
        <v/>
      </c>
      <c r="G214" s="147" t="n">
        <v>1</v>
      </c>
      <c r="H214" s="148" t="n"/>
      <c r="I214" s="151">
        <f>ROUND(20-F214,3)</f>
        <v/>
      </c>
      <c r="J214" s="148" t="n"/>
      <c r="K214" s="148" t="n"/>
      <c r="L214" s="148" t="n"/>
      <c r="M214" s="147">
        <f>AVERAGE(M213:M213)</f>
        <v/>
      </c>
      <c r="N214" s="148" t="n"/>
      <c r="O214" s="148" t="n"/>
      <c r="P214" s="148" t="n"/>
      <c r="Q214" s="148" t="n"/>
      <c r="R214" s="148" t="n"/>
      <c r="S214" s="148" t="n"/>
    </row>
    <row r="215" ht="30" customHeight="1" s="76">
      <c r="A215" s="144" t="inlineStr">
        <is>
          <t>B9</t>
        </is>
      </c>
      <c r="B215" s="144" t="inlineStr">
        <is>
          <t>HGC-Lib-26098937</t>
        </is>
      </c>
      <c r="C215" s="144" t="n">
        <v>20.6</v>
      </c>
      <c r="D215" s="145" t="n">
        <v>100</v>
      </c>
      <c r="E215" s="146">
        <f>ROUND(D215/SUM(D215:D215)*IF(C215="",50,50.0),3)</f>
        <v/>
      </c>
      <c r="F215" s="146">
        <f>ROUND(E215/C215*G216,3)</f>
        <v/>
      </c>
      <c r="G215" s="144" t="inlineStr">
        <is>
          <t>10x3′单细胞转录组</t>
        </is>
      </c>
      <c r="H215" s="144" t="inlineStr">
        <is>
          <t>广州承启生物科技有限公司</t>
        </is>
      </c>
      <c r="I215" s="146" t="n"/>
      <c r="J215" s="144" t="n"/>
      <c r="K215" s="144" t="n"/>
      <c r="L215" s="147" t="n"/>
      <c r="M215" s="147" t="n"/>
      <c r="N215" s="147" t="n">
        <v>20.6</v>
      </c>
      <c r="O215" s="147" t="inlineStr">
        <is>
          <t>Illumina Truseq文库</t>
        </is>
      </c>
      <c r="P215" s="147" t="inlineStr">
        <is>
          <t>未磷酸化</t>
        </is>
      </c>
      <c r="Q215" s="147" t="inlineStr">
        <is>
          <t>未环化</t>
        </is>
      </c>
      <c r="R215" s="147" t="n"/>
      <c r="S215" s="147" t="n"/>
    </row>
    <row r="216" ht="30" customHeight="1" s="76">
      <c r="A216" s="148" t="n"/>
      <c r="B216" s="147" t="n">
        <v>1</v>
      </c>
      <c r="C216" s="148" t="n"/>
      <c r="D216" s="149">
        <f>ROUND(SUM(D215:D215),2)</f>
        <v/>
      </c>
      <c r="E216" s="150">
        <f>ROUND(SUM(E215:E215),3)</f>
        <v/>
      </c>
      <c r="F216" s="150">
        <f>IF(G216&gt;1,ROUND(SUM(F215:F215)/G216*2,3),ROUND(SUM(F215:F215),3))</f>
        <v/>
      </c>
      <c r="G216" s="147" t="n">
        <v>1</v>
      </c>
      <c r="H216" s="148" t="n"/>
      <c r="I216" s="151">
        <f>ROUND(20-F216,3)</f>
        <v/>
      </c>
      <c r="J216" s="148" t="n"/>
      <c r="K216" s="148" t="n"/>
      <c r="L216" s="148" t="n"/>
      <c r="M216" s="147">
        <f>AVERAGE(M215:M215)</f>
        <v/>
      </c>
      <c r="N216" s="148" t="n"/>
      <c r="O216" s="148" t="n"/>
      <c r="P216" s="148" t="n"/>
      <c r="Q216" s="148" t="n"/>
      <c r="R216" s="148" t="n"/>
      <c r="S216" s="148" t="n"/>
    </row>
    <row r="217" ht="30" customHeight="1" s="76">
      <c r="A217" s="144" t="inlineStr">
        <is>
          <t>B10</t>
        </is>
      </c>
      <c r="B217" s="144" t="inlineStr">
        <is>
          <t>HGC-Lib-26095293</t>
        </is>
      </c>
      <c r="C217" s="144" t="n">
        <v>23.63</v>
      </c>
      <c r="D217" s="145" t="n">
        <v>60</v>
      </c>
      <c r="E217" s="146">
        <f>ROUND(D217/SUM(D217:D219)*IF(C217="",50,50.0),3)</f>
        <v/>
      </c>
      <c r="F217" s="146">
        <f>ROUND(E217/C217*G220,3)</f>
        <v/>
      </c>
      <c r="G217" s="144" t="inlineStr">
        <is>
          <t>BD</t>
        </is>
      </c>
      <c r="H217" s="144" t="inlineStr">
        <is>
          <t>武汉瑞兴生物科技有限公司</t>
        </is>
      </c>
      <c r="I217" s="146" t="n"/>
      <c r="J217" s="144" t="n"/>
      <c r="K217" s="144" t="n"/>
      <c r="L217" s="147" t="inlineStr">
        <is>
          <t>补测_260730_R21016100250033_ML150026411</t>
        </is>
      </c>
      <c r="M217" s="147" t="n">
        <v>521</v>
      </c>
      <c r="N217" s="147" t="n">
        <v>23.63</v>
      </c>
      <c r="O217" s="147" t="inlineStr">
        <is>
          <t>Illumina Truseq文库</t>
        </is>
      </c>
      <c r="P217" s="147" t="inlineStr">
        <is>
          <t>未磷酸化</t>
        </is>
      </c>
      <c r="Q217" s="147" t="inlineStr">
        <is>
          <t>未环化</t>
        </is>
      </c>
      <c r="R217" s="147" t="inlineStr">
        <is>
          <t>B</t>
        </is>
      </c>
      <c r="S217" s="147" t="inlineStr">
        <is>
          <t>C</t>
        </is>
      </c>
    </row>
    <row r="218" ht="30" customHeight="1" s="76">
      <c r="A218" s="152" t="n"/>
      <c r="B218" s="144" t="inlineStr">
        <is>
          <t>HGC-Lib-26095294</t>
        </is>
      </c>
      <c r="C218" s="144" t="n">
        <v>15.08</v>
      </c>
      <c r="D218" s="145" t="n">
        <v>40</v>
      </c>
      <c r="E218" s="146">
        <f>ROUND(D218/SUM(D217:D219)*IF(C218="",50,50.0),3)</f>
        <v/>
      </c>
      <c r="F218" s="146">
        <f>ROUND(E218/C218*G220,3)</f>
        <v/>
      </c>
      <c r="G218" s="144" t="inlineStr">
        <is>
          <t>BD</t>
        </is>
      </c>
      <c r="H218" s="144" t="inlineStr">
        <is>
          <t>武汉瑞兴生物科技有限公司</t>
        </is>
      </c>
      <c r="I218" s="146" t="n"/>
      <c r="J218" s="144" t="n"/>
      <c r="K218" s="144" t="n"/>
      <c r="L218" s="147" t="inlineStr">
        <is>
          <t>补测_260730_R21016100250033_ML150026411</t>
        </is>
      </c>
      <c r="M218" s="147" t="n">
        <v>434</v>
      </c>
      <c r="N218" s="147" t="n">
        <v>15.08</v>
      </c>
      <c r="O218" s="147" t="inlineStr">
        <is>
          <t>Illumina Truseq文库</t>
        </is>
      </c>
      <c r="P218" s="147" t="inlineStr">
        <is>
          <t>未磷酸化</t>
        </is>
      </c>
      <c r="Q218" s="147" t="inlineStr">
        <is>
          <t>未环化</t>
        </is>
      </c>
      <c r="R218" s="147" t="inlineStr">
        <is>
          <t>B</t>
        </is>
      </c>
      <c r="S218" s="147" t="inlineStr">
        <is>
          <t>C</t>
        </is>
      </c>
    </row>
    <row r="219" ht="30" customHeight="1" s="76">
      <c r="A219" s="153" t="n"/>
      <c r="B219" s="144" t="inlineStr">
        <is>
          <t>HGC-Lib-26095295</t>
        </is>
      </c>
      <c r="C219" s="144" t="n">
        <v>12.43</v>
      </c>
      <c r="D219" s="145" t="n">
        <v>35</v>
      </c>
      <c r="E219" s="146">
        <f>ROUND(D219/SUM(D217:D219)*IF(C219="",50,50.0),3)</f>
        <v/>
      </c>
      <c r="F219" s="146">
        <f>ROUND(E219/C219*G220,3)</f>
        <v/>
      </c>
      <c r="G219" s="144" t="inlineStr">
        <is>
          <t>BD</t>
        </is>
      </c>
      <c r="H219" s="144" t="inlineStr">
        <is>
          <t>武汉瑞兴生物科技有限公司</t>
        </is>
      </c>
      <c r="I219" s="146" t="n"/>
      <c r="J219" s="144" t="n"/>
      <c r="K219" s="144" t="n"/>
      <c r="L219" s="147" t="inlineStr">
        <is>
          <t>补测_260730_R21016100250033_ML150026411</t>
        </is>
      </c>
      <c r="M219" s="147" t="n">
        <v>422</v>
      </c>
      <c r="N219" s="147" t="n">
        <v>12.43</v>
      </c>
      <c r="O219" s="147" t="inlineStr">
        <is>
          <t>Illumina Truseq文库</t>
        </is>
      </c>
      <c r="P219" s="147" t="inlineStr">
        <is>
          <t>未磷酸化</t>
        </is>
      </c>
      <c r="Q219" s="147" t="inlineStr">
        <is>
          <t>未环化</t>
        </is>
      </c>
      <c r="R219" s="147" t="inlineStr">
        <is>
          <t>B</t>
        </is>
      </c>
      <c r="S219" s="147" t="inlineStr">
        <is>
          <t>C</t>
        </is>
      </c>
    </row>
    <row r="220" ht="30" customHeight="1" s="76">
      <c r="A220" s="148" t="n"/>
      <c r="B220" s="147" t="n">
        <v>3</v>
      </c>
      <c r="C220" s="148" t="n"/>
      <c r="D220" s="149">
        <f>ROUND(SUM(D217:D219),2)</f>
        <v/>
      </c>
      <c r="E220" s="150">
        <f>ROUND(SUM(E217:E219),3)</f>
        <v/>
      </c>
      <c r="F220" s="150">
        <f>IF(G220&gt;1,ROUND(SUM(F217:F219)/G220*2,3),ROUND(SUM(F217:F219),3))</f>
        <v/>
      </c>
      <c r="G220" s="147" t="n">
        <v>1</v>
      </c>
      <c r="H220" s="148" t="n"/>
      <c r="I220" s="151">
        <f>ROUND(20-F220,3)</f>
        <v/>
      </c>
      <c r="J220" s="148" t="n"/>
      <c r="K220" s="148" t="n"/>
      <c r="L220" s="148" t="n"/>
      <c r="M220" s="147">
        <f>AVERAGE(M217:M219)</f>
        <v/>
      </c>
      <c r="N220" s="148" t="n"/>
      <c r="O220" s="148" t="n"/>
      <c r="P220" s="148" t="n"/>
      <c r="Q220" s="148" t="n"/>
      <c r="R220" s="148" t="n"/>
      <c r="S220" s="148" t="n"/>
    </row>
    <row r="221" ht="30" customHeight="1" s="76">
      <c r="A221" s="144" t="inlineStr">
        <is>
          <t>B11</t>
        </is>
      </c>
      <c r="B221" s="144" t="inlineStr">
        <is>
          <t>HGC-Lib-26096241</t>
        </is>
      </c>
      <c r="C221" s="144" t="n">
        <v>73</v>
      </c>
      <c r="D221" s="145" t="n">
        <v>44</v>
      </c>
      <c r="E221" s="146">
        <f>ROUND(D221/SUM(D221:D227)*IF(C221="",50,50.0),3)</f>
        <v/>
      </c>
      <c r="F221" s="146">
        <f>ROUND(E221/C221*G228,3)</f>
        <v/>
      </c>
      <c r="G221" s="144" t="inlineStr">
        <is>
          <t>BD-单细胞</t>
        </is>
      </c>
      <c r="H221" s="144" t="inlineStr">
        <is>
          <t>江西烈冰生物科技有限公司</t>
        </is>
      </c>
      <c r="I221" s="146" t="n"/>
      <c r="J221" s="144" t="n"/>
      <c r="K221" s="144" t="n"/>
      <c r="L221" s="147" t="inlineStr">
        <is>
          <t>补测_260801_R21016100250033_ML150026412</t>
        </is>
      </c>
      <c r="M221" s="147" t="n"/>
      <c r="N221" s="147" t="n">
        <v>73</v>
      </c>
      <c r="O221" s="147" t="inlineStr">
        <is>
          <t>Illumina Truseq文库</t>
        </is>
      </c>
      <c r="P221" s="147" t="inlineStr">
        <is>
          <t>未磷酸化</t>
        </is>
      </c>
      <c r="Q221" s="147" t="inlineStr">
        <is>
          <t>未环化</t>
        </is>
      </c>
      <c r="R221" s="147" t="inlineStr">
        <is>
          <t>A</t>
        </is>
      </c>
      <c r="S221" s="147" t="n"/>
    </row>
    <row r="222" ht="30" customHeight="1" s="76">
      <c r="A222" s="152" t="n"/>
      <c r="B222" s="144" t="inlineStr">
        <is>
          <t>HGC-Lib-26096246</t>
        </is>
      </c>
      <c r="C222" s="144" t="n">
        <v>24.2</v>
      </c>
      <c r="D222" s="145" t="n">
        <v>16</v>
      </c>
      <c r="E222" s="146">
        <f>ROUND(D222/SUM(D221:D227)*IF(C222="",50,50.0),3)</f>
        <v/>
      </c>
      <c r="F222" s="146">
        <f>ROUND(E222/C222*G228,3)</f>
        <v/>
      </c>
      <c r="G222" s="144" t="inlineStr">
        <is>
          <t>BD-单细胞</t>
        </is>
      </c>
      <c r="H222" s="144" t="inlineStr">
        <is>
          <t>江西烈冰生物科技有限公司</t>
        </is>
      </c>
      <c r="I222" s="146" t="n"/>
      <c r="J222" s="144" t="n"/>
      <c r="K222" s="144" t="n"/>
      <c r="L222" s="147" t="inlineStr">
        <is>
          <t>补测_260801_R21016100250033_ML150026412</t>
        </is>
      </c>
      <c r="M222" s="147" t="n"/>
      <c r="N222" s="147" t="n">
        <v>24.2</v>
      </c>
      <c r="O222" s="147" t="inlineStr">
        <is>
          <t>Illumina Truseq文库</t>
        </is>
      </c>
      <c r="P222" s="147" t="inlineStr">
        <is>
          <t>未磷酸化</t>
        </is>
      </c>
      <c r="Q222" s="147" t="inlineStr">
        <is>
          <t>未环化</t>
        </is>
      </c>
      <c r="R222" s="147" t="inlineStr">
        <is>
          <t>A</t>
        </is>
      </c>
      <c r="S222" s="147" t="n"/>
    </row>
    <row r="223" ht="30" customHeight="1" s="76">
      <c r="A223" s="152" t="n"/>
      <c r="B223" s="144" t="inlineStr">
        <is>
          <t>HGC-Lib-26096248</t>
        </is>
      </c>
      <c r="C223" s="144" t="n">
        <v>40.07</v>
      </c>
      <c r="D223" s="145" t="n">
        <v>12</v>
      </c>
      <c r="E223" s="146">
        <f>ROUND(D223/SUM(D221:D227)*IF(C223="",50,50.0),3)</f>
        <v/>
      </c>
      <c r="F223" s="146">
        <f>ROUND(E223/C223*G228,3)</f>
        <v/>
      </c>
      <c r="G223" s="144" t="inlineStr">
        <is>
          <t>BD-单细胞</t>
        </is>
      </c>
      <c r="H223" s="144" t="inlineStr">
        <is>
          <t>江西烈冰生物科技有限公司</t>
        </is>
      </c>
      <c r="I223" s="146" t="n"/>
      <c r="J223" s="144" t="n"/>
      <c r="K223" s="144" t="n"/>
      <c r="L223" s="147" t="inlineStr">
        <is>
          <t>补测_260801_R21016100250033_ML150026478</t>
        </is>
      </c>
      <c r="M223" s="147" t="n"/>
      <c r="N223" s="147" t="n">
        <v>40.07</v>
      </c>
      <c r="O223" s="147" t="inlineStr">
        <is>
          <t>Illumina Truseq文库</t>
        </is>
      </c>
      <c r="P223" s="147" t="inlineStr">
        <is>
          <t>未磷酸化</t>
        </is>
      </c>
      <c r="Q223" s="147" t="inlineStr">
        <is>
          <t>未环化</t>
        </is>
      </c>
      <c r="R223" s="147" t="inlineStr">
        <is>
          <t>A</t>
        </is>
      </c>
      <c r="S223" s="147" t="n"/>
    </row>
    <row r="224" ht="30" customHeight="1" s="76">
      <c r="A224" s="152" t="n"/>
      <c r="B224" s="144" t="inlineStr">
        <is>
          <t>HGC-Lib-26096249</t>
        </is>
      </c>
      <c r="C224" s="144" t="n">
        <v>48.76</v>
      </c>
      <c r="D224" s="145" t="n">
        <v>14</v>
      </c>
      <c r="E224" s="146">
        <f>ROUND(D224/SUM(D221:D227)*IF(C224="",50,50.0),3)</f>
        <v/>
      </c>
      <c r="F224" s="146">
        <f>ROUND(E224/C224*G228,3)</f>
        <v/>
      </c>
      <c r="G224" s="144" t="inlineStr">
        <is>
          <t>BD-单细胞</t>
        </is>
      </c>
      <c r="H224" s="144" t="inlineStr">
        <is>
          <t>江西烈冰生物科技有限公司</t>
        </is>
      </c>
      <c r="I224" s="146" t="n"/>
      <c r="J224" s="144" t="n"/>
      <c r="K224" s="144" t="n"/>
      <c r="L224" s="147" t="inlineStr">
        <is>
          <t>补测_260801_R21016100250033_ML150026478</t>
        </is>
      </c>
      <c r="M224" s="147" t="n"/>
      <c r="N224" s="147" t="n">
        <v>48.76</v>
      </c>
      <c r="O224" s="147" t="inlineStr">
        <is>
          <t>Illumina Truseq文库</t>
        </is>
      </c>
      <c r="P224" s="147" t="inlineStr">
        <is>
          <t>未磷酸化</t>
        </is>
      </c>
      <c r="Q224" s="147" t="inlineStr">
        <is>
          <t>未环化</t>
        </is>
      </c>
      <c r="R224" s="147" t="inlineStr">
        <is>
          <t>A</t>
        </is>
      </c>
      <c r="S224" s="147" t="n"/>
    </row>
    <row r="225" ht="30" customHeight="1" s="76">
      <c r="A225" s="152" t="n"/>
      <c r="B225" s="144" t="inlineStr">
        <is>
          <t>HGC-Lib-26096253</t>
        </is>
      </c>
      <c r="C225" s="144" t="n">
        <v>19.28</v>
      </c>
      <c r="D225" s="145" t="n">
        <v>11</v>
      </c>
      <c r="E225" s="146">
        <f>ROUND(D225/SUM(D221:D227)*IF(C225="",50,50.0),3)</f>
        <v/>
      </c>
      <c r="F225" s="146">
        <f>ROUND(E225/C225*G228,3)</f>
        <v/>
      </c>
      <c r="G225" s="144" t="inlineStr">
        <is>
          <t>BD-单细胞</t>
        </is>
      </c>
      <c r="H225" s="144" t="inlineStr">
        <is>
          <t>江西烈冰生物科技有限公司</t>
        </is>
      </c>
      <c r="I225" s="146" t="n"/>
      <c r="J225" s="144" t="n"/>
      <c r="K225" s="144" t="n"/>
      <c r="L225" s="147" t="inlineStr">
        <is>
          <t>补测_260801_R21016100250033_ML150026478</t>
        </is>
      </c>
      <c r="M225" s="147" t="n"/>
      <c r="N225" s="147" t="n">
        <v>19.28</v>
      </c>
      <c r="O225" s="147" t="inlineStr">
        <is>
          <t>Illumina Truseq文库</t>
        </is>
      </c>
      <c r="P225" s="147" t="inlineStr">
        <is>
          <t>未磷酸化</t>
        </is>
      </c>
      <c r="Q225" s="147" t="inlineStr">
        <is>
          <t>未环化</t>
        </is>
      </c>
      <c r="R225" s="147" t="inlineStr">
        <is>
          <t>A</t>
        </is>
      </c>
      <c r="S225" s="147" t="n"/>
    </row>
    <row r="226" ht="30" customHeight="1" s="76">
      <c r="A226" s="152" t="n"/>
      <c r="B226" s="144" t="inlineStr">
        <is>
          <t>HGC-Lib-26096255</t>
        </is>
      </c>
      <c r="C226" s="144" t="n">
        <v>23.71</v>
      </c>
      <c r="D226" s="145" t="n">
        <v>13</v>
      </c>
      <c r="E226" s="146">
        <f>ROUND(D226/SUM(D221:D227)*IF(C226="",50,50.0),3)</f>
        <v/>
      </c>
      <c r="F226" s="146">
        <f>ROUND(E226/C226*G228,3)</f>
        <v/>
      </c>
      <c r="G226" s="144" t="inlineStr">
        <is>
          <t>BD-单细胞</t>
        </is>
      </c>
      <c r="H226" s="144" t="inlineStr">
        <is>
          <t>江西烈冰生物科技有限公司</t>
        </is>
      </c>
      <c r="I226" s="146" t="n"/>
      <c r="J226" s="144" t="n"/>
      <c r="K226" s="144" t="n"/>
      <c r="L226" s="147" t="inlineStr">
        <is>
          <t>补测_260801_R21016100250033_ML150026478</t>
        </is>
      </c>
      <c r="M226" s="147" t="n"/>
      <c r="N226" s="147" t="n">
        <v>23.71</v>
      </c>
      <c r="O226" s="147" t="inlineStr">
        <is>
          <t>Illumina Truseq文库</t>
        </is>
      </c>
      <c r="P226" s="147" t="inlineStr">
        <is>
          <t>未磷酸化</t>
        </is>
      </c>
      <c r="Q226" s="147" t="inlineStr">
        <is>
          <t>未环化</t>
        </is>
      </c>
      <c r="R226" s="147" t="inlineStr">
        <is>
          <t>A</t>
        </is>
      </c>
      <c r="S226" s="147" t="n"/>
    </row>
    <row r="227" ht="30" customHeight="1" s="76">
      <c r="A227" s="153" t="n"/>
      <c r="B227" s="144" t="inlineStr">
        <is>
          <t>HGC-Lib-26096258</t>
        </is>
      </c>
      <c r="C227" s="144" t="n">
        <v>25.52</v>
      </c>
      <c r="D227" s="145" t="n">
        <v>7</v>
      </c>
      <c r="E227" s="146">
        <f>ROUND(D227/SUM(D221:D227)*IF(C227="",50,50.0),3)</f>
        <v/>
      </c>
      <c r="F227" s="146">
        <f>ROUND(E227/C227*G228,3)</f>
        <v/>
      </c>
      <c r="G227" s="144" t="inlineStr">
        <is>
          <t>BD-单细胞</t>
        </is>
      </c>
      <c r="H227" s="144" t="inlineStr">
        <is>
          <t>江西烈冰生物科技有限公司</t>
        </is>
      </c>
      <c r="I227" s="146" t="n"/>
      <c r="J227" s="144" t="n"/>
      <c r="K227" s="144" t="n"/>
      <c r="L227" s="147" t="inlineStr">
        <is>
          <t>补测_260801_R21016100250033_ML150026478</t>
        </is>
      </c>
      <c r="M227" s="147" t="n"/>
      <c r="N227" s="147" t="n">
        <v>25.52</v>
      </c>
      <c r="O227" s="147" t="inlineStr">
        <is>
          <t>Illumina Truseq文库</t>
        </is>
      </c>
      <c r="P227" s="147" t="inlineStr">
        <is>
          <t>未磷酸化</t>
        </is>
      </c>
      <c r="Q227" s="147" t="inlineStr">
        <is>
          <t>未环化</t>
        </is>
      </c>
      <c r="R227" s="147" t="inlineStr">
        <is>
          <t>A</t>
        </is>
      </c>
      <c r="S227" s="147" t="n"/>
    </row>
    <row r="228" ht="30" customHeight="1" s="76">
      <c r="A228" s="148" t="n"/>
      <c r="B228" s="147" t="n">
        <v>7</v>
      </c>
      <c r="C228" s="148" t="n"/>
      <c r="D228" s="149">
        <f>ROUND(SUM(D221:D227),2)</f>
        <v/>
      </c>
      <c r="E228" s="150">
        <f>ROUND(SUM(E221:E227),3)</f>
        <v/>
      </c>
      <c r="F228" s="150">
        <f>IF(G228&gt;1,ROUND(SUM(F221:F227)/G228*2,3),ROUND(SUM(F221:F227),3))</f>
        <v/>
      </c>
      <c r="G228" s="147" t="n">
        <v>5</v>
      </c>
      <c r="H228" s="148" t="n"/>
      <c r="I228" s="151">
        <f>ROUND(20-F228,3)</f>
        <v/>
      </c>
      <c r="J228" s="148" t="n"/>
      <c r="K228" s="148" t="n"/>
      <c r="L228" s="148" t="n"/>
      <c r="M228" s="147">
        <f>AVERAGE(M221:M227)</f>
        <v/>
      </c>
      <c r="N228" s="148" t="n"/>
      <c r="O228" s="148" t="n"/>
      <c r="P228" s="148" t="n"/>
      <c r="Q228" s="148" t="n"/>
      <c r="R228" s="148" t="n"/>
      <c r="S228" s="148" t="n"/>
    </row>
    <row r="229" ht="30" customHeight="1" s="76">
      <c r="A229" s="144" t="inlineStr">
        <is>
          <t>B12</t>
        </is>
      </c>
      <c r="B229" s="144" t="inlineStr">
        <is>
          <t>HGC-POOL-26095291</t>
        </is>
      </c>
      <c r="C229" s="144" t="n">
        <v>10.54</v>
      </c>
      <c r="D229" s="145" t="n">
        <v>30</v>
      </c>
      <c r="E229" s="146">
        <f>ROUND(D229/SUM(D229:D229)*IF(C229="",50,50.0),3)</f>
        <v/>
      </c>
      <c r="F229" s="146">
        <f>ROUND(E229/C229*G230,3)</f>
        <v/>
      </c>
      <c r="G229" s="144" t="inlineStr">
        <is>
          <t>BD</t>
        </is>
      </c>
      <c r="H229" s="144" t="inlineStr">
        <is>
          <t>武汉瑞兴生物科技有限公司</t>
        </is>
      </c>
      <c r="I229" s="146" t="n"/>
      <c r="J229" s="144" t="n"/>
      <c r="K229" s="144" t="n"/>
      <c r="L229" s="147" t="inlineStr">
        <is>
          <t>补测_260730_R21016100250033_ML150026411</t>
        </is>
      </c>
      <c r="M229" s="147" t="n">
        <v>574</v>
      </c>
      <c r="N229" s="147" t="n">
        <v>10.54</v>
      </c>
      <c r="O229" s="147" t="inlineStr">
        <is>
          <t>Illumina Truseq文库</t>
        </is>
      </c>
      <c r="P229" s="147" t="inlineStr">
        <is>
          <t>未磷酸化</t>
        </is>
      </c>
      <c r="Q229" s="147" t="inlineStr">
        <is>
          <t>未环化</t>
        </is>
      </c>
      <c r="R229" s="147" t="inlineStr">
        <is>
          <t>B</t>
        </is>
      </c>
      <c r="S229" s="147" t="inlineStr">
        <is>
          <t>C</t>
        </is>
      </c>
    </row>
    <row r="230" ht="30" customHeight="1" s="76">
      <c r="A230" s="148" t="n"/>
      <c r="B230" s="147" t="n">
        <v>1</v>
      </c>
      <c r="C230" s="148" t="n"/>
      <c r="D230" s="149">
        <f>ROUND(SUM(D229:D229),2)</f>
        <v/>
      </c>
      <c r="E230" s="150">
        <f>ROUND(SUM(E229:E229),3)</f>
        <v/>
      </c>
      <c r="F230" s="150">
        <f>IF(G230&gt;1,ROUND(SUM(F229:F229)/G230*2,3),ROUND(SUM(F229:F229),3))</f>
        <v/>
      </c>
      <c r="G230" s="147" t="n">
        <v>1</v>
      </c>
      <c r="H230" s="148" t="n"/>
      <c r="I230" s="151">
        <f>ROUND(20-F230,3)</f>
        <v/>
      </c>
      <c r="J230" s="148" t="n"/>
      <c r="K230" s="148" t="n"/>
      <c r="L230" s="148" t="n"/>
      <c r="M230" s="147">
        <f>AVERAGE(M229:M229)</f>
        <v/>
      </c>
      <c r="N230" s="148" t="n"/>
      <c r="O230" s="148" t="n"/>
      <c r="P230" s="148" t="n"/>
      <c r="Q230" s="148" t="n"/>
      <c r="R230" s="148" t="n"/>
      <c r="S230" s="148" t="n"/>
    </row>
    <row r="231" ht="30" customHeight="1" s="76">
      <c r="A231" s="155" t="inlineStr">
        <is>
          <t>B13</t>
        </is>
      </c>
      <c r="B231" s="144" t="inlineStr">
        <is>
          <t>HGC-Lib-26095740</t>
        </is>
      </c>
      <c r="C231" s="144" t="n">
        <v>12.23</v>
      </c>
      <c r="D231" s="145" t="n">
        <v>0.5</v>
      </c>
      <c r="E231" s="146">
        <f>ROUND(D231/SUM(D231:D231)*IF(C231="",50,300.0),3)</f>
        <v/>
      </c>
      <c r="F231" s="146">
        <f>ROUND(E231/C231*G232,3)</f>
        <v/>
      </c>
      <c r="G231" s="144" t="inlineStr">
        <is>
          <t>华大-C4-oligo</t>
        </is>
      </c>
      <c r="H231" s="144" t="inlineStr">
        <is>
          <t>广州奥智生物科技有限公司</t>
        </is>
      </c>
      <c r="I231" s="146" t="n"/>
      <c r="J231" s="144" t="n"/>
      <c r="K231" s="144" t="n"/>
      <c r="L231" s="147" t="inlineStr">
        <is>
          <t>补测_260801_R21016100250033_ML150026419</t>
        </is>
      </c>
      <c r="M231" s="147" t="n"/>
      <c r="N231" s="147" t="n">
        <v>12.23</v>
      </c>
      <c r="O231" s="147" t="inlineStr">
        <is>
          <t>华大单barcode文库</t>
        </is>
      </c>
      <c r="P231" s="147" t="inlineStr">
        <is>
          <t>已磷酸化</t>
        </is>
      </c>
      <c r="Q231" s="147" t="inlineStr">
        <is>
          <t>未环化</t>
        </is>
      </c>
      <c r="R231" s="147" t="inlineStr">
        <is>
          <t>B</t>
        </is>
      </c>
      <c r="S231" s="147" t="inlineStr">
        <is>
          <t>E</t>
        </is>
      </c>
    </row>
    <row r="232" ht="30" customHeight="1" s="76">
      <c r="A232" s="148" t="n"/>
      <c r="B232" s="147" t="n">
        <v>1</v>
      </c>
      <c r="C232" s="148" t="n"/>
      <c r="D232" s="149">
        <f>ROUND(SUM(D231:D231),2)</f>
        <v/>
      </c>
      <c r="E232" s="150">
        <f>ROUND(SUM(E231:E231),3)</f>
        <v/>
      </c>
      <c r="F232" s="150">
        <f>IF(G232&gt;1,ROUND(SUM(F231:F231)/G232*2,3),ROUND(SUM(F231:F231),3))</f>
        <v/>
      </c>
      <c r="G232" s="147" t="n">
        <v>1</v>
      </c>
      <c r="H232" s="148" t="n"/>
      <c r="I232" s="151">
        <f>ROUND(40-F232,3)</f>
        <v/>
      </c>
      <c r="J232" s="148" t="n"/>
      <c r="K232" s="148" t="n"/>
      <c r="L232" s="148" t="n"/>
      <c r="M232" s="147">
        <f>AVERAGE(M231:M231)</f>
        <v/>
      </c>
      <c r="N232" s="148" t="n"/>
      <c r="O232" s="148" t="n"/>
      <c r="P232" s="148" t="n"/>
      <c r="Q232" s="148" t="n"/>
      <c r="R232" s="148" t="n"/>
      <c r="S232" s="148" t="n"/>
    </row>
    <row r="233" ht="30" customHeight="1" s="76">
      <c r="A233" s="155" t="inlineStr">
        <is>
          <t>B14</t>
        </is>
      </c>
      <c r="B233" s="144" t="inlineStr">
        <is>
          <t>HGC-Lib-26095745</t>
        </is>
      </c>
      <c r="C233" s="144" t="n">
        <v>7.56</v>
      </c>
      <c r="D233" s="145" t="n">
        <v>16.5</v>
      </c>
      <c r="E233" s="146">
        <f>ROUND(D233/SUM(D233:D235)*IF(C233="",50,300.0),3)</f>
        <v/>
      </c>
      <c r="F233" s="146">
        <f>ROUND(E233/C233*G236,3)</f>
        <v/>
      </c>
      <c r="G233" s="144" t="inlineStr">
        <is>
          <t>华大-C4-转录组</t>
        </is>
      </c>
      <c r="H233" s="144" t="inlineStr">
        <is>
          <t>广州奥智生物科技有限公司</t>
        </is>
      </c>
      <c r="I233" s="146" t="n"/>
      <c r="J233" s="144" t="n"/>
      <c r="K233" s="144" t="n"/>
      <c r="L233" s="147" t="inlineStr">
        <is>
          <t>补测_260801_R21016100250033_ML150026419</t>
        </is>
      </c>
      <c r="M233" s="147" t="n"/>
      <c r="N233" s="147" t="n">
        <v>7.56</v>
      </c>
      <c r="O233" s="147" t="inlineStr">
        <is>
          <t>华大单barcode文库</t>
        </is>
      </c>
      <c r="P233" s="147" t="inlineStr">
        <is>
          <t>已磷酸化</t>
        </is>
      </c>
      <c r="Q233" s="147" t="inlineStr">
        <is>
          <t>未环化</t>
        </is>
      </c>
      <c r="R233" s="147" t="inlineStr">
        <is>
          <t>B</t>
        </is>
      </c>
      <c r="S233" s="147" t="inlineStr">
        <is>
          <t>AE</t>
        </is>
      </c>
    </row>
    <row r="234" ht="30" customHeight="1" s="76">
      <c r="A234" s="152" t="n"/>
      <c r="B234" s="144" t="inlineStr">
        <is>
          <t>HGC-Lib-26095751</t>
        </is>
      </c>
      <c r="C234" s="144" t="n">
        <v>7.59</v>
      </c>
      <c r="D234" s="145" t="n">
        <v>7</v>
      </c>
      <c r="E234" s="146">
        <f>ROUND(D234/SUM(D233:D235)*IF(C234="",50,300.0),3)</f>
        <v/>
      </c>
      <c r="F234" s="146">
        <f>ROUND(E234/C234*G236,3)</f>
        <v/>
      </c>
      <c r="G234" s="144" t="inlineStr">
        <is>
          <t>华大-C4-转录组</t>
        </is>
      </c>
      <c r="H234" s="144" t="inlineStr">
        <is>
          <t>广州奥智生物科技有限公司</t>
        </is>
      </c>
      <c r="I234" s="146" t="n"/>
      <c r="J234" s="144" t="n"/>
      <c r="K234" s="144" t="n"/>
      <c r="L234" s="147" t="inlineStr">
        <is>
          <t>补测_260801_R21016100250033_ML150026419</t>
        </is>
      </c>
      <c r="M234" s="147" t="n"/>
      <c r="N234" s="147" t="n">
        <v>7.59</v>
      </c>
      <c r="O234" s="147" t="inlineStr">
        <is>
          <t>华大单barcode文库</t>
        </is>
      </c>
      <c r="P234" s="147" t="inlineStr">
        <is>
          <t>已磷酸化</t>
        </is>
      </c>
      <c r="Q234" s="147" t="inlineStr">
        <is>
          <t>未环化</t>
        </is>
      </c>
      <c r="R234" s="147" t="inlineStr">
        <is>
          <t>B</t>
        </is>
      </c>
      <c r="S234" s="147" t="inlineStr">
        <is>
          <t>AE</t>
        </is>
      </c>
    </row>
    <row r="235" ht="30" customHeight="1" s="76">
      <c r="A235" s="153" t="n"/>
      <c r="B235" s="144" t="inlineStr">
        <is>
          <t>HGC-Lib-26097494</t>
        </is>
      </c>
      <c r="C235" s="144" t="n">
        <v>21.45</v>
      </c>
      <c r="D235" s="145" t="n">
        <v>88</v>
      </c>
      <c r="E235" s="146">
        <f>ROUND(D235/SUM(D233:D235)*IF(C235="",50,300.0),3)</f>
        <v/>
      </c>
      <c r="F235" s="146">
        <f>ROUND(E235/C235*G236,3)</f>
        <v/>
      </c>
      <c r="G235" s="144" t="inlineStr">
        <is>
          <t>华大-C4-转录组</t>
        </is>
      </c>
      <c r="H235" s="144" t="inlineStr">
        <is>
          <t>广州奥智生物科技有限公司</t>
        </is>
      </c>
      <c r="I235" s="146" t="n"/>
      <c r="J235" s="144" t="n"/>
      <c r="K235" s="144" t="n"/>
      <c r="L235" s="147" t="n"/>
      <c r="M235" s="147" t="n"/>
      <c r="N235" s="147" t="n">
        <v>21.45</v>
      </c>
      <c r="O235" s="147" t="inlineStr">
        <is>
          <t>华大单barcode文库</t>
        </is>
      </c>
      <c r="P235" s="147" t="inlineStr">
        <is>
          <t>已磷酸化</t>
        </is>
      </c>
      <c r="Q235" s="147" t="inlineStr">
        <is>
          <t>未环化</t>
        </is>
      </c>
      <c r="R235" s="147" t="inlineStr">
        <is>
          <t>A</t>
        </is>
      </c>
      <c r="S235" s="147" t="n"/>
    </row>
    <row r="236" ht="30" customHeight="1" s="76">
      <c r="A236" s="148" t="n"/>
      <c r="B236" s="147" t="n">
        <v>3</v>
      </c>
      <c r="C236" s="148" t="n"/>
      <c r="D236" s="149">
        <f>ROUND(SUM(D233:D235),2)</f>
        <v/>
      </c>
      <c r="E236" s="150">
        <f>ROUND(SUM(E233:E235),3)</f>
        <v/>
      </c>
      <c r="F236" s="150">
        <f>IF(G236&gt;1,ROUND(SUM(F233:F235)/G236*2,3),ROUND(SUM(F233:F235),3))</f>
        <v/>
      </c>
      <c r="G236" s="147" t="n">
        <v>1</v>
      </c>
      <c r="H236" s="148" t="n"/>
      <c r="I236" s="151">
        <f>ROUND(40-F236,3)</f>
        <v/>
      </c>
      <c r="J236" s="148" t="n"/>
      <c r="K236" s="148" t="n"/>
      <c r="L236" s="148" t="n"/>
      <c r="M236" s="147">
        <f>AVERAGE(M233:M235)</f>
        <v/>
      </c>
      <c r="N236" s="148" t="n"/>
      <c r="O236" s="148" t="n"/>
      <c r="P236" s="148" t="n"/>
      <c r="Q236" s="148" t="n"/>
      <c r="R236" s="148" t="n"/>
      <c r="S236" s="148" t="n"/>
    </row>
    <row r="237" ht="30" customHeight="1" s="76">
      <c r="A237" s="155" t="inlineStr">
        <is>
          <t>B15</t>
        </is>
      </c>
      <c r="B237" s="144" t="inlineStr">
        <is>
          <t>HGC-Lib-26097493</t>
        </is>
      </c>
      <c r="C237" s="144" t="n">
        <v>14.32</v>
      </c>
      <c r="D237" s="145" t="n">
        <v>88</v>
      </c>
      <c r="E237" s="146">
        <f>ROUND(D237/SUM(D237:D245)*IF(C237="",50,300.0),3)</f>
        <v/>
      </c>
      <c r="F237" s="146">
        <f>ROUND(E237/C237*G246,3)</f>
        <v/>
      </c>
      <c r="G237" s="144" t="inlineStr">
        <is>
          <t>华大-C4-转录组</t>
        </is>
      </c>
      <c r="H237" s="144" t="inlineStr">
        <is>
          <t>广州奥智生物科技有限公司</t>
        </is>
      </c>
      <c r="I237" s="146" t="n"/>
      <c r="J237" s="144" t="n"/>
      <c r="K237" s="144" t="n"/>
      <c r="L237" s="147" t="n"/>
      <c r="M237" s="147" t="n"/>
      <c r="N237" s="147" t="n">
        <v>14.32</v>
      </c>
      <c r="O237" s="147" t="inlineStr">
        <is>
          <t>华大单barcode文库</t>
        </is>
      </c>
      <c r="P237" s="147" t="inlineStr">
        <is>
          <t>已磷酸化</t>
        </is>
      </c>
      <c r="Q237" s="147" t="inlineStr">
        <is>
          <t>未环化</t>
        </is>
      </c>
      <c r="R237" s="147" t="inlineStr">
        <is>
          <t>B</t>
        </is>
      </c>
      <c r="S237" s="147" t="inlineStr">
        <is>
          <t>E</t>
        </is>
      </c>
    </row>
    <row r="238" ht="30" customHeight="1" s="76">
      <c r="A238" s="152" t="n"/>
      <c r="B238" s="144" t="inlineStr">
        <is>
          <t>HGC-Lib-26097496</t>
        </is>
      </c>
      <c r="C238" s="144" t="n">
        <v>12.48</v>
      </c>
      <c r="D238" s="145" t="n">
        <v>88</v>
      </c>
      <c r="E238" s="146">
        <f>ROUND(D238/SUM(D237:D245)*IF(C238="",50,300.0),3)</f>
        <v/>
      </c>
      <c r="F238" s="146">
        <f>ROUND(E238/C238*G246,3)</f>
        <v/>
      </c>
      <c r="G238" s="144" t="inlineStr">
        <is>
          <t>华大-C4-转录组</t>
        </is>
      </c>
      <c r="H238" s="144" t="inlineStr">
        <is>
          <t>广州奥智生物科技有限公司</t>
        </is>
      </c>
      <c r="I238" s="146" t="n"/>
      <c r="J238" s="144" t="n"/>
      <c r="K238" s="144" t="n"/>
      <c r="L238" s="147" t="n"/>
      <c r="M238" s="147" t="n"/>
      <c r="N238" s="147" t="n">
        <v>12.48</v>
      </c>
      <c r="O238" s="147" t="inlineStr">
        <is>
          <t>华大单barcode文库</t>
        </is>
      </c>
      <c r="P238" s="147" t="inlineStr">
        <is>
          <t>已磷酸化</t>
        </is>
      </c>
      <c r="Q238" s="147" t="inlineStr">
        <is>
          <t>未环化</t>
        </is>
      </c>
      <c r="R238" s="147" t="inlineStr">
        <is>
          <t>B</t>
        </is>
      </c>
      <c r="S238" s="147" t="inlineStr">
        <is>
          <t>E</t>
        </is>
      </c>
    </row>
    <row r="239" ht="30" customHeight="1" s="76">
      <c r="A239" s="152" t="n"/>
      <c r="B239" s="144" t="inlineStr">
        <is>
          <t>HGC-Lib-26097497</t>
        </is>
      </c>
      <c r="C239" s="144" t="n">
        <v>15.19</v>
      </c>
      <c r="D239" s="145" t="n">
        <v>88</v>
      </c>
      <c r="E239" s="146">
        <f>ROUND(D239/SUM(D237:D245)*IF(C239="",50,300.0),3)</f>
        <v/>
      </c>
      <c r="F239" s="146">
        <f>ROUND(E239/C239*G246,3)</f>
        <v/>
      </c>
      <c r="G239" s="144" t="inlineStr">
        <is>
          <t>华大-C4-转录组</t>
        </is>
      </c>
      <c r="H239" s="144" t="inlineStr">
        <is>
          <t>广州奥智生物科技有限公司</t>
        </is>
      </c>
      <c r="I239" s="146" t="n"/>
      <c r="J239" s="144" t="n"/>
      <c r="K239" s="144" t="n"/>
      <c r="L239" s="147" t="n"/>
      <c r="M239" s="147" t="n"/>
      <c r="N239" s="147" t="n">
        <v>15.19</v>
      </c>
      <c r="O239" s="147" t="inlineStr">
        <is>
          <t>华大单barcode文库</t>
        </is>
      </c>
      <c r="P239" s="147" t="inlineStr">
        <is>
          <t>已磷酸化</t>
        </is>
      </c>
      <c r="Q239" s="147" t="inlineStr">
        <is>
          <t>未环化</t>
        </is>
      </c>
      <c r="R239" s="147" t="inlineStr">
        <is>
          <t>B</t>
        </is>
      </c>
      <c r="S239" s="147" t="inlineStr">
        <is>
          <t>E</t>
        </is>
      </c>
    </row>
    <row r="240" ht="30" customHeight="1" s="76">
      <c r="A240" s="152" t="n"/>
      <c r="B240" s="144" t="inlineStr">
        <is>
          <t>HGC-Lib-26097500</t>
        </is>
      </c>
      <c r="C240" s="144" t="n">
        <v>13.97</v>
      </c>
      <c r="D240" s="145" t="n">
        <v>88</v>
      </c>
      <c r="E240" s="146">
        <f>ROUND(D240/SUM(D237:D245)*IF(C240="",50,300.0),3)</f>
        <v/>
      </c>
      <c r="F240" s="146">
        <f>ROUND(E240/C240*G246,3)</f>
        <v/>
      </c>
      <c r="G240" s="144" t="inlineStr">
        <is>
          <t>华大-C4-转录组</t>
        </is>
      </c>
      <c r="H240" s="144" t="inlineStr">
        <is>
          <t>广州奥智生物科技有限公司</t>
        </is>
      </c>
      <c r="I240" s="146" t="n"/>
      <c r="J240" s="144" t="n"/>
      <c r="K240" s="144" t="n"/>
      <c r="L240" s="147" t="n"/>
      <c r="M240" s="147" t="n"/>
      <c r="N240" s="147" t="n">
        <v>13.97</v>
      </c>
      <c r="O240" s="147" t="inlineStr">
        <is>
          <t>华大单barcode文库</t>
        </is>
      </c>
      <c r="P240" s="147" t="inlineStr">
        <is>
          <t>已磷酸化</t>
        </is>
      </c>
      <c r="Q240" s="147" t="inlineStr">
        <is>
          <t>未环化</t>
        </is>
      </c>
      <c r="R240" s="147" t="inlineStr">
        <is>
          <t>B</t>
        </is>
      </c>
      <c r="S240" s="147" t="inlineStr">
        <is>
          <t>E</t>
        </is>
      </c>
    </row>
    <row r="241" ht="30" customHeight="1" s="76">
      <c r="A241" s="152" t="n"/>
      <c r="B241" s="144" t="inlineStr">
        <is>
          <t>HGC-Lib-26097505</t>
        </is>
      </c>
      <c r="C241" s="144" t="n">
        <v>14.22</v>
      </c>
      <c r="D241" s="145" t="n">
        <v>88</v>
      </c>
      <c r="E241" s="146">
        <f>ROUND(D241/SUM(D237:D245)*IF(C241="",50,300.0),3)</f>
        <v/>
      </c>
      <c r="F241" s="146">
        <f>ROUND(E241/C241*G246,3)</f>
        <v/>
      </c>
      <c r="G241" s="144" t="inlineStr">
        <is>
          <t>华大-C4-转录组</t>
        </is>
      </c>
      <c r="H241" s="144" t="inlineStr">
        <is>
          <t>广州奥智生物科技有限公司</t>
        </is>
      </c>
      <c r="I241" s="146" t="n"/>
      <c r="J241" s="144" t="n"/>
      <c r="K241" s="144" t="n"/>
      <c r="L241" s="147" t="n"/>
      <c r="M241" s="147" t="n"/>
      <c r="N241" s="147" t="n">
        <v>14.22</v>
      </c>
      <c r="O241" s="147" t="inlineStr">
        <is>
          <t>华大单barcode文库</t>
        </is>
      </c>
      <c r="P241" s="147" t="inlineStr">
        <is>
          <t>已磷酸化</t>
        </is>
      </c>
      <c r="Q241" s="147" t="inlineStr">
        <is>
          <t>未环化</t>
        </is>
      </c>
      <c r="R241" s="147" t="inlineStr">
        <is>
          <t>B</t>
        </is>
      </c>
      <c r="S241" s="147" t="inlineStr">
        <is>
          <t>E</t>
        </is>
      </c>
    </row>
    <row r="242" ht="30" customHeight="1" s="76">
      <c r="A242" s="152" t="n"/>
      <c r="B242" s="144" t="inlineStr">
        <is>
          <t>HGC-Lib-26097506</t>
        </is>
      </c>
      <c r="C242" s="144" t="n">
        <v>12.52</v>
      </c>
      <c r="D242" s="145" t="n">
        <v>88</v>
      </c>
      <c r="E242" s="146">
        <f>ROUND(D242/SUM(D237:D245)*IF(C242="",50,300.0),3)</f>
        <v/>
      </c>
      <c r="F242" s="146">
        <f>ROUND(E242/C242*G246,3)</f>
        <v/>
      </c>
      <c r="G242" s="144" t="inlineStr">
        <is>
          <t>华大-C4-转录组</t>
        </is>
      </c>
      <c r="H242" s="144" t="inlineStr">
        <is>
          <t>广州奥智生物科技有限公司</t>
        </is>
      </c>
      <c r="I242" s="146" t="n"/>
      <c r="J242" s="144" t="n"/>
      <c r="K242" s="144" t="n"/>
      <c r="L242" s="147" t="n"/>
      <c r="M242" s="147" t="n"/>
      <c r="N242" s="147" t="n">
        <v>12.52</v>
      </c>
      <c r="O242" s="147" t="inlineStr">
        <is>
          <t>华大单barcode文库</t>
        </is>
      </c>
      <c r="P242" s="147" t="inlineStr">
        <is>
          <t>已磷酸化</t>
        </is>
      </c>
      <c r="Q242" s="147" t="inlineStr">
        <is>
          <t>未环化</t>
        </is>
      </c>
      <c r="R242" s="147" t="inlineStr">
        <is>
          <t>B</t>
        </is>
      </c>
      <c r="S242" s="147" t="inlineStr">
        <is>
          <t>E</t>
        </is>
      </c>
    </row>
    <row r="243" ht="30" customHeight="1" s="76">
      <c r="A243" s="152" t="n"/>
      <c r="B243" s="144" t="inlineStr">
        <is>
          <t>HGC-Lib-26097511</t>
        </is>
      </c>
      <c r="C243" s="144" t="n">
        <v>13.78</v>
      </c>
      <c r="D243" s="145" t="n">
        <v>106</v>
      </c>
      <c r="E243" s="146">
        <f>ROUND(D243/SUM(D237:D245)*IF(C243="",50,300.0),3)</f>
        <v/>
      </c>
      <c r="F243" s="146">
        <f>ROUND(E243/C243*G246,3)</f>
        <v/>
      </c>
      <c r="G243" s="144" t="inlineStr">
        <is>
          <t>华大-C4-转录组</t>
        </is>
      </c>
      <c r="H243" s="144" t="inlineStr">
        <is>
          <t>广州奥智生物科技有限公司</t>
        </is>
      </c>
      <c r="I243" s="146" t="n"/>
      <c r="J243" s="144" t="n"/>
      <c r="K243" s="144" t="n"/>
      <c r="L243" s="147" t="n"/>
      <c r="M243" s="147" t="n"/>
      <c r="N243" s="147" t="n">
        <v>13.78</v>
      </c>
      <c r="O243" s="147" t="inlineStr">
        <is>
          <t>华大单barcode文库</t>
        </is>
      </c>
      <c r="P243" s="147" t="inlineStr">
        <is>
          <t>已磷酸化</t>
        </is>
      </c>
      <c r="Q243" s="147" t="inlineStr">
        <is>
          <t>未环化</t>
        </is>
      </c>
      <c r="R243" s="147" t="inlineStr">
        <is>
          <t>B</t>
        </is>
      </c>
      <c r="S243" s="147" t="inlineStr">
        <is>
          <t>E</t>
        </is>
      </c>
    </row>
    <row r="244" ht="30" customHeight="1" s="76">
      <c r="A244" s="152" t="n"/>
      <c r="B244" s="144" t="inlineStr">
        <is>
          <t>HGC-Lib-26097512</t>
        </is>
      </c>
      <c r="C244" s="144" t="n">
        <v>12.77</v>
      </c>
      <c r="D244" s="145" t="n">
        <v>106</v>
      </c>
      <c r="E244" s="146">
        <f>ROUND(D244/SUM(D237:D245)*IF(C244="",50,300.0),3)</f>
        <v/>
      </c>
      <c r="F244" s="146">
        <f>ROUND(E244/C244*G246,3)</f>
        <v/>
      </c>
      <c r="G244" s="144" t="inlineStr">
        <is>
          <t>华大-C4-转录组</t>
        </is>
      </c>
      <c r="H244" s="144" t="inlineStr">
        <is>
          <t>广州奥智生物科技有限公司</t>
        </is>
      </c>
      <c r="I244" s="146" t="n"/>
      <c r="J244" s="144" t="n"/>
      <c r="K244" s="144" t="n"/>
      <c r="L244" s="147" t="n"/>
      <c r="M244" s="147" t="n"/>
      <c r="N244" s="147" t="n">
        <v>12.77</v>
      </c>
      <c r="O244" s="147" t="inlineStr">
        <is>
          <t>华大单barcode文库</t>
        </is>
      </c>
      <c r="P244" s="147" t="inlineStr">
        <is>
          <t>已磷酸化</t>
        </is>
      </c>
      <c r="Q244" s="147" t="inlineStr">
        <is>
          <t>未环化</t>
        </is>
      </c>
      <c r="R244" s="147" t="inlineStr">
        <is>
          <t>B</t>
        </is>
      </c>
      <c r="S244" s="147" t="inlineStr">
        <is>
          <t>E</t>
        </is>
      </c>
    </row>
    <row r="245" ht="30" customHeight="1" s="76">
      <c r="A245" s="153" t="n"/>
      <c r="B245" s="144" t="inlineStr">
        <is>
          <t>HGC-Lib-26097513</t>
        </is>
      </c>
      <c r="C245" s="144" t="n">
        <v>18.57</v>
      </c>
      <c r="D245" s="145" t="n">
        <v>106</v>
      </c>
      <c r="E245" s="146">
        <f>ROUND(D245/SUM(D237:D245)*IF(C245="",50,300.0),3)</f>
        <v/>
      </c>
      <c r="F245" s="146">
        <f>ROUND(E245/C245*G246,3)</f>
        <v/>
      </c>
      <c r="G245" s="144" t="inlineStr">
        <is>
          <t>华大-C4-转录组</t>
        </is>
      </c>
      <c r="H245" s="144" t="inlineStr">
        <is>
          <t>广州奥智生物科技有限公司</t>
        </is>
      </c>
      <c r="I245" s="146" t="n"/>
      <c r="J245" s="144" t="n"/>
      <c r="K245" s="144" t="n"/>
      <c r="L245" s="147" t="n"/>
      <c r="M245" s="147" t="n"/>
      <c r="N245" s="147" t="n">
        <v>18.57</v>
      </c>
      <c r="O245" s="147" t="inlineStr">
        <is>
          <t>华大单barcode文库</t>
        </is>
      </c>
      <c r="P245" s="147" t="inlineStr">
        <is>
          <t>已磷酸化</t>
        </is>
      </c>
      <c r="Q245" s="147" t="inlineStr">
        <is>
          <t>未环化</t>
        </is>
      </c>
      <c r="R245" s="147" t="inlineStr">
        <is>
          <t>B</t>
        </is>
      </c>
      <c r="S245" s="147" t="inlineStr">
        <is>
          <t>E</t>
        </is>
      </c>
    </row>
    <row r="246" ht="30" customHeight="1" s="76">
      <c r="A246" s="148" t="n"/>
      <c r="B246" s="147" t="n">
        <v>9</v>
      </c>
      <c r="C246" s="148" t="n"/>
      <c r="D246" s="149">
        <f>ROUND(SUM(D237:D245),2)</f>
        <v/>
      </c>
      <c r="E246" s="150">
        <f>ROUND(SUM(E237:E245),3)</f>
        <v/>
      </c>
      <c r="F246" s="150">
        <f>IF(G246&gt;1,ROUND(SUM(F237:F245)/G246*2,3),ROUND(SUM(F237:F245),3))</f>
        <v/>
      </c>
      <c r="G246" s="147" t="n">
        <v>1</v>
      </c>
      <c r="H246" s="148" t="n"/>
      <c r="I246" s="151">
        <f>ROUND(40-F246,3)</f>
        <v/>
      </c>
      <c r="J246" s="148" t="n"/>
      <c r="K246" s="148" t="n"/>
      <c r="L246" s="148" t="n"/>
      <c r="M246" s="147">
        <f>AVERAGE(M237:M245)</f>
        <v/>
      </c>
      <c r="N246" s="148" t="n"/>
      <c r="O246" s="148" t="n"/>
      <c r="P246" s="148" t="n"/>
      <c r="Q246" s="148" t="n"/>
      <c r="R246" s="148" t="n"/>
      <c r="S246" s="148" t="n"/>
    </row>
    <row r="247" ht="30" customHeight="1" s="76">
      <c r="A247" s="155" t="inlineStr">
        <is>
          <t>B16</t>
        </is>
      </c>
      <c r="B247" s="144" t="inlineStr">
        <is>
          <t>HGC-Lib-26097508</t>
        </is>
      </c>
      <c r="C247" s="144" t="n">
        <v>15.39</v>
      </c>
      <c r="D247" s="145" t="n">
        <v>88</v>
      </c>
      <c r="E247" s="146">
        <f>ROUND(D247/SUM(D247:D248)*IF(C247="",50,300.0),3)</f>
        <v/>
      </c>
      <c r="F247" s="146">
        <f>ROUND(E247/C247*G249,3)</f>
        <v/>
      </c>
      <c r="G247" s="144" t="inlineStr">
        <is>
          <t>华大-C4-转录组</t>
        </is>
      </c>
      <c r="H247" s="144" t="inlineStr">
        <is>
          <t>广州奥智生物科技有限公司</t>
        </is>
      </c>
      <c r="I247" s="146" t="n"/>
      <c r="J247" s="144" t="n"/>
      <c r="K247" s="144" t="n"/>
      <c r="L247" s="147" t="n"/>
      <c r="M247" s="147" t="n"/>
      <c r="N247" s="147" t="n">
        <v>15.39</v>
      </c>
      <c r="O247" s="147" t="inlineStr">
        <is>
          <t>华大单barcode文库</t>
        </is>
      </c>
      <c r="P247" s="147" t="inlineStr">
        <is>
          <t>已磷酸化</t>
        </is>
      </c>
      <c r="Q247" s="147" t="inlineStr">
        <is>
          <t>未环化</t>
        </is>
      </c>
      <c r="R247" s="147" t="inlineStr">
        <is>
          <t>B</t>
        </is>
      </c>
      <c r="S247" s="147" t="inlineStr">
        <is>
          <t>E</t>
        </is>
      </c>
    </row>
    <row r="248" ht="30" customHeight="1" s="76">
      <c r="A248" s="153" t="n"/>
      <c r="B248" s="144" t="inlineStr">
        <is>
          <t>HGC-Lib-26097509</t>
        </is>
      </c>
      <c r="C248" s="144" t="n">
        <v>14.53</v>
      </c>
      <c r="D248" s="145" t="n">
        <v>88</v>
      </c>
      <c r="E248" s="146">
        <f>ROUND(D248/SUM(D247:D248)*IF(C248="",50,300.0),3)</f>
        <v/>
      </c>
      <c r="F248" s="146">
        <f>ROUND(E248/C248*G249,3)</f>
        <v/>
      </c>
      <c r="G248" s="144" t="inlineStr">
        <is>
          <t>华大-C4-转录组</t>
        </is>
      </c>
      <c r="H248" s="144" t="inlineStr">
        <is>
          <t>广州奥智生物科技有限公司</t>
        </is>
      </c>
      <c r="I248" s="146" t="n"/>
      <c r="J248" s="144" t="n"/>
      <c r="K248" s="144" t="n"/>
      <c r="L248" s="147" t="n"/>
      <c r="M248" s="147" t="n"/>
      <c r="N248" s="147" t="n">
        <v>14.53</v>
      </c>
      <c r="O248" s="147" t="inlineStr">
        <is>
          <t>华大单barcode文库</t>
        </is>
      </c>
      <c r="P248" s="147" t="inlineStr">
        <is>
          <t>已磷酸化</t>
        </is>
      </c>
      <c r="Q248" s="147" t="inlineStr">
        <is>
          <t>未环化</t>
        </is>
      </c>
      <c r="R248" s="147" t="inlineStr">
        <is>
          <t>B</t>
        </is>
      </c>
      <c r="S248" s="147" t="inlineStr">
        <is>
          <t>E</t>
        </is>
      </c>
    </row>
    <row r="249" ht="30" customHeight="1" s="76">
      <c r="A249" s="148" t="n"/>
      <c r="B249" s="147" t="n">
        <v>2</v>
      </c>
      <c r="C249" s="148" t="n"/>
      <c r="D249" s="149">
        <f>ROUND(SUM(D247:D248),2)</f>
        <v/>
      </c>
      <c r="E249" s="150">
        <f>ROUND(SUM(E247:E248),3)</f>
        <v/>
      </c>
      <c r="F249" s="150">
        <f>IF(G249&gt;1,ROUND(SUM(F247:F248)/G249*2,3),ROUND(SUM(F247:F248),3))</f>
        <v/>
      </c>
      <c r="G249" s="147" t="n">
        <v>1</v>
      </c>
      <c r="H249" s="148" t="n"/>
      <c r="I249" s="151">
        <f>ROUND(40-F249,3)</f>
        <v/>
      </c>
      <c r="J249" s="148" t="n"/>
      <c r="K249" s="148" t="n"/>
      <c r="L249" s="148" t="n"/>
      <c r="M249" s="147">
        <f>AVERAGE(M247:M248)</f>
        <v/>
      </c>
      <c r="N249" s="148" t="n"/>
      <c r="O249" s="148" t="n"/>
      <c r="P249" s="148" t="n"/>
      <c r="Q249" s="148" t="n"/>
      <c r="R249" s="148" t="n"/>
      <c r="S249" s="148" t="n"/>
    </row>
    <row r="250" ht="30" customHeight="1" s="76">
      <c r="A250" s="155" t="inlineStr">
        <is>
          <t>B17</t>
        </is>
      </c>
      <c r="B250" s="144" t="inlineStr">
        <is>
          <t>HGC-Lib-26096167</t>
        </is>
      </c>
      <c r="C250" s="144" t="n">
        <v>91.97</v>
      </c>
      <c r="D250" s="145" t="n">
        <v>35</v>
      </c>
      <c r="E250" s="146">
        <f>ROUND(D250/SUM(D250:D250)*IF(C250="",50,300.0),3)</f>
        <v/>
      </c>
      <c r="F250" s="146">
        <f>ROUND(E250/C250*G251,3)</f>
        <v/>
      </c>
      <c r="G250" s="144" t="inlineStr">
        <is>
          <t>基因组文库</t>
        </is>
      </c>
      <c r="H250" s="144" t="inlineStr">
        <is>
          <t>武汉百易汇能生物科技有限公司</t>
        </is>
      </c>
      <c r="I250" s="146" t="n"/>
      <c r="J250" s="144" t="n"/>
      <c r="K250" s="144" t="inlineStr">
        <is>
          <t>0730-百易汇能-0023-A2</t>
        </is>
      </c>
      <c r="L250" s="147" t="inlineStr">
        <is>
          <t>补测_260731_R21016100250033_ML150026483</t>
        </is>
      </c>
      <c r="M250" s="147" t="n"/>
      <c r="N250" s="147" t="n">
        <v>91.97</v>
      </c>
      <c r="O250" s="147" t="inlineStr">
        <is>
          <t>华大双barcode文库</t>
        </is>
      </c>
      <c r="P250" s="147" t="inlineStr">
        <is>
          <t>已磷酸化</t>
        </is>
      </c>
      <c r="Q250" s="147" t="inlineStr">
        <is>
          <t>未环化</t>
        </is>
      </c>
      <c r="R250" s="147" t="inlineStr">
        <is>
          <t>A</t>
        </is>
      </c>
      <c r="S250" s="147" t="n"/>
    </row>
    <row r="251" ht="30" customHeight="1" s="76">
      <c r="A251" s="148" t="n"/>
      <c r="B251" s="147" t="n">
        <v>1</v>
      </c>
      <c r="C251" s="148" t="n"/>
      <c r="D251" s="149">
        <f>ROUND(SUM(D250:D250),2)</f>
        <v/>
      </c>
      <c r="E251" s="150">
        <f>ROUND(SUM(E250:E250),3)</f>
        <v/>
      </c>
      <c r="F251" s="150">
        <f>IF(G251&gt;1,ROUND(SUM(F250:F250)/G251*2,3),ROUND(SUM(F250:F250),3))</f>
        <v/>
      </c>
      <c r="G251" s="147" t="n">
        <v>1</v>
      </c>
      <c r="H251" s="148" t="n"/>
      <c r="I251" s="151">
        <f>ROUND(40-F251,3)</f>
        <v/>
      </c>
      <c r="J251" s="148" t="n"/>
      <c r="K251" s="148" t="n"/>
      <c r="L251" s="148" t="n"/>
      <c r="M251" s="147">
        <f>AVERAGE(M250:M250)</f>
        <v/>
      </c>
      <c r="N251" s="148" t="n"/>
      <c r="O251" s="148" t="n"/>
      <c r="P251" s="148" t="n"/>
      <c r="Q251" s="148" t="n"/>
      <c r="R251" s="148" t="n"/>
      <c r="S251" s="148" t="n"/>
    </row>
    <row r="252" ht="30" customHeight="1" s="76">
      <c r="A252" s="155" t="inlineStr">
        <is>
          <t>B18</t>
        </is>
      </c>
      <c r="B252" s="144" t="inlineStr">
        <is>
          <t>HGC-Lib-26096169</t>
        </is>
      </c>
      <c r="C252" s="144" t="n">
        <v>63.9</v>
      </c>
      <c r="D252" s="145" t="n">
        <v>2</v>
      </c>
      <c r="E252" s="146">
        <f>ROUND(D252/SUM(D252:D264)*IF(C252="",50,300.0),3)</f>
        <v/>
      </c>
      <c r="F252" s="146">
        <f>ROUND(E252/C252*G265,3)</f>
        <v/>
      </c>
      <c r="G252" s="144" t="inlineStr">
        <is>
          <t>转录组文库</t>
        </is>
      </c>
      <c r="H252" s="144" t="inlineStr">
        <is>
          <t>武汉百易汇能生物科技有限公司</t>
        </is>
      </c>
      <c r="I252" s="146" t="n"/>
      <c r="J252" s="144" t="n"/>
      <c r="K252" s="144" t="inlineStr">
        <is>
          <t>0730-百易汇能-0023-A3</t>
        </is>
      </c>
      <c r="L252" s="147" t="inlineStr">
        <is>
          <t>补测_260731_R21016100250033_ML150026483</t>
        </is>
      </c>
      <c r="M252" s="147" t="n"/>
      <c r="N252" s="147" t="n">
        <v>63.9</v>
      </c>
      <c r="O252" s="147" t="inlineStr">
        <is>
          <t>华大双barcode文库</t>
        </is>
      </c>
      <c r="P252" s="147" t="inlineStr">
        <is>
          <t>已磷酸化</t>
        </is>
      </c>
      <c r="Q252" s="147" t="inlineStr">
        <is>
          <t>未环化</t>
        </is>
      </c>
      <c r="R252" s="147" t="inlineStr">
        <is>
          <t>A</t>
        </is>
      </c>
      <c r="S252" s="147" t="n"/>
    </row>
    <row r="253" ht="30" customHeight="1" s="76">
      <c r="A253" s="152" t="n"/>
      <c r="B253" s="144" t="inlineStr">
        <is>
          <t>HGC-Lib-26096170</t>
        </is>
      </c>
      <c r="C253" s="144" t="n">
        <v>53.42</v>
      </c>
      <c r="D253" s="145" t="n">
        <v>3</v>
      </c>
      <c r="E253" s="146">
        <f>ROUND(D253/SUM(D252:D264)*IF(C253="",50,300.0),3)</f>
        <v/>
      </c>
      <c r="F253" s="146">
        <f>ROUND(E253/C253*G265,3)</f>
        <v/>
      </c>
      <c r="G253" s="144" t="inlineStr">
        <is>
          <t>转录组文库</t>
        </is>
      </c>
      <c r="H253" s="144" t="inlineStr">
        <is>
          <t>武汉百易汇能生物科技有限公司</t>
        </is>
      </c>
      <c r="I253" s="146" t="n"/>
      <c r="J253" s="144" t="n"/>
      <c r="K253" s="144" t="inlineStr">
        <is>
          <t>0730-百易汇能-0023-B3</t>
        </is>
      </c>
      <c r="L253" s="147" t="inlineStr">
        <is>
          <t>补测_260731_R21016100250033_ML150026483</t>
        </is>
      </c>
      <c r="M253" s="147" t="n"/>
      <c r="N253" s="147" t="n">
        <v>53.42</v>
      </c>
      <c r="O253" s="147" t="inlineStr">
        <is>
          <t>华大双barcode文库</t>
        </is>
      </c>
      <c r="P253" s="147" t="inlineStr">
        <is>
          <t>已磷酸化</t>
        </is>
      </c>
      <c r="Q253" s="147" t="inlineStr">
        <is>
          <t>未环化</t>
        </is>
      </c>
      <c r="R253" s="147" t="inlineStr">
        <is>
          <t>A</t>
        </is>
      </c>
      <c r="S253" s="147" t="n"/>
    </row>
    <row r="254" ht="30" customHeight="1" s="76">
      <c r="A254" s="152" t="n"/>
      <c r="B254" s="144" t="inlineStr">
        <is>
          <t>HGC-Lib-26096171</t>
        </is>
      </c>
      <c r="C254" s="144" t="n">
        <v>48.84</v>
      </c>
      <c r="D254" s="145" t="n">
        <v>2</v>
      </c>
      <c r="E254" s="146">
        <f>ROUND(D254/SUM(D252:D264)*IF(C254="",50,300.0),3)</f>
        <v/>
      </c>
      <c r="F254" s="146">
        <f>ROUND(E254/C254*G265,3)</f>
        <v/>
      </c>
      <c r="G254" s="144" t="inlineStr">
        <is>
          <t>转录组文库</t>
        </is>
      </c>
      <c r="H254" s="144" t="inlineStr">
        <is>
          <t>武汉百易汇能生物科技有限公司</t>
        </is>
      </c>
      <c r="I254" s="146" t="n"/>
      <c r="J254" s="144" t="n"/>
      <c r="K254" s="144" t="inlineStr">
        <is>
          <t>0730-百易汇能-0023-C3</t>
        </is>
      </c>
      <c r="L254" s="147" t="inlineStr">
        <is>
          <t>补测_260731_R21016100250033_ML150026483</t>
        </is>
      </c>
      <c r="M254" s="147" t="n"/>
      <c r="N254" s="147" t="n">
        <v>48.84</v>
      </c>
      <c r="O254" s="147" t="inlineStr">
        <is>
          <t>华大双barcode文库</t>
        </is>
      </c>
      <c r="P254" s="147" t="inlineStr">
        <is>
          <t>已磷酸化</t>
        </is>
      </c>
      <c r="Q254" s="147" t="inlineStr">
        <is>
          <t>未环化</t>
        </is>
      </c>
      <c r="R254" s="147" t="inlineStr">
        <is>
          <t>A</t>
        </is>
      </c>
      <c r="S254" s="147" t="n"/>
    </row>
    <row r="255" ht="30" customHeight="1" s="76">
      <c r="A255" s="152" t="n"/>
      <c r="B255" s="144" t="inlineStr">
        <is>
          <t>HGC-Lib-26096172</t>
        </is>
      </c>
      <c r="C255" s="144" t="n">
        <v>59.62</v>
      </c>
      <c r="D255" s="145" t="n">
        <v>3</v>
      </c>
      <c r="E255" s="146">
        <f>ROUND(D255/SUM(D252:D264)*IF(C255="",50,300.0),3)</f>
        <v/>
      </c>
      <c r="F255" s="146">
        <f>ROUND(E255/C255*G265,3)</f>
        <v/>
      </c>
      <c r="G255" s="144" t="inlineStr">
        <is>
          <t>转录组文库</t>
        </is>
      </c>
      <c r="H255" s="144" t="inlineStr">
        <is>
          <t>武汉百易汇能生物科技有限公司</t>
        </is>
      </c>
      <c r="I255" s="146" t="n"/>
      <c r="J255" s="144" t="n"/>
      <c r="K255" s="144" t="inlineStr">
        <is>
          <t>0730-百易汇能-0023-D3</t>
        </is>
      </c>
      <c r="L255" s="147" t="inlineStr">
        <is>
          <t>补测_260731_R21016100250033_ML150026483</t>
        </is>
      </c>
      <c r="M255" s="147" t="n"/>
      <c r="N255" s="147" t="n">
        <v>59.62</v>
      </c>
      <c r="O255" s="147" t="inlineStr">
        <is>
          <t>华大双barcode文库</t>
        </is>
      </c>
      <c r="P255" s="147" t="inlineStr">
        <is>
          <t>已磷酸化</t>
        </is>
      </c>
      <c r="Q255" s="147" t="inlineStr">
        <is>
          <t>未环化</t>
        </is>
      </c>
      <c r="R255" s="147" t="inlineStr">
        <is>
          <t>A</t>
        </is>
      </c>
      <c r="S255" s="147" t="n"/>
    </row>
    <row r="256" ht="30" customHeight="1" s="76">
      <c r="A256" s="152" t="n"/>
      <c r="B256" s="144" t="inlineStr">
        <is>
          <t>HGC-Lib-26096173</t>
        </is>
      </c>
      <c r="C256" s="144" t="n">
        <v>60.69</v>
      </c>
      <c r="D256" s="145" t="n">
        <v>2</v>
      </c>
      <c r="E256" s="146">
        <f>ROUND(D256/SUM(D252:D264)*IF(C256="",50,300.0),3)</f>
        <v/>
      </c>
      <c r="F256" s="146">
        <f>ROUND(E256/C256*G265,3)</f>
        <v/>
      </c>
      <c r="G256" s="144" t="inlineStr">
        <is>
          <t>转录组文库</t>
        </is>
      </c>
      <c r="H256" s="144" t="inlineStr">
        <is>
          <t>武汉百易汇能生物科技有限公司</t>
        </is>
      </c>
      <c r="I256" s="146" t="n"/>
      <c r="J256" s="144" t="n"/>
      <c r="K256" s="144" t="inlineStr">
        <is>
          <t>0730-百易汇能-0023-E3</t>
        </is>
      </c>
      <c r="L256" s="147" t="inlineStr">
        <is>
          <t>补测_260731_R21016100250033_ML150026483</t>
        </is>
      </c>
      <c r="M256" s="147" t="n"/>
      <c r="N256" s="147" t="n">
        <v>60.69</v>
      </c>
      <c r="O256" s="147" t="inlineStr">
        <is>
          <t>华大双barcode文库</t>
        </is>
      </c>
      <c r="P256" s="147" t="inlineStr">
        <is>
          <t>已磷酸化</t>
        </is>
      </c>
      <c r="Q256" s="147" t="inlineStr">
        <is>
          <t>未环化</t>
        </is>
      </c>
      <c r="R256" s="147" t="inlineStr">
        <is>
          <t>A</t>
        </is>
      </c>
      <c r="S256" s="147" t="n"/>
    </row>
    <row r="257" ht="30" customHeight="1" s="76">
      <c r="A257" s="152" t="n"/>
      <c r="B257" s="144" t="inlineStr">
        <is>
          <t>HGC-Lib-26096174</t>
        </is>
      </c>
      <c r="C257" s="144" t="n">
        <v>61.49</v>
      </c>
      <c r="D257" s="145" t="n">
        <v>2</v>
      </c>
      <c r="E257" s="146">
        <f>ROUND(D257/SUM(D252:D264)*IF(C257="",50,300.0),3)</f>
        <v/>
      </c>
      <c r="F257" s="146">
        <f>ROUND(E257/C257*G265,3)</f>
        <v/>
      </c>
      <c r="G257" s="144" t="inlineStr">
        <is>
          <t>转录组文库</t>
        </is>
      </c>
      <c r="H257" s="144" t="inlineStr">
        <is>
          <t>武汉百易汇能生物科技有限公司</t>
        </is>
      </c>
      <c r="I257" s="146" t="n"/>
      <c r="J257" s="144" t="n"/>
      <c r="K257" s="144" t="inlineStr">
        <is>
          <t>0730-百易汇能-0023-F3</t>
        </is>
      </c>
      <c r="L257" s="147" t="inlineStr">
        <is>
          <t>补测_260731_R21016100250033_ML150026483</t>
        </is>
      </c>
      <c r="M257" s="147" t="n"/>
      <c r="N257" s="147" t="n">
        <v>61.49</v>
      </c>
      <c r="O257" s="147" t="inlineStr">
        <is>
          <t>华大双barcode文库</t>
        </is>
      </c>
      <c r="P257" s="147" t="inlineStr">
        <is>
          <t>已磷酸化</t>
        </is>
      </c>
      <c r="Q257" s="147" t="inlineStr">
        <is>
          <t>未环化</t>
        </is>
      </c>
      <c r="R257" s="147" t="inlineStr">
        <is>
          <t>A</t>
        </is>
      </c>
      <c r="S257" s="147" t="n"/>
    </row>
    <row r="258" ht="30" customHeight="1" s="76">
      <c r="A258" s="152" t="n"/>
      <c r="B258" s="144" t="inlineStr">
        <is>
          <t>HGC-Lib-26096175</t>
        </is>
      </c>
      <c r="C258" s="144" t="n">
        <v>59.97</v>
      </c>
      <c r="D258" s="145" t="n">
        <v>2</v>
      </c>
      <c r="E258" s="146">
        <f>ROUND(D258/SUM(D252:D264)*IF(C258="",50,300.0),3)</f>
        <v/>
      </c>
      <c r="F258" s="146">
        <f>ROUND(E258/C258*G265,3)</f>
        <v/>
      </c>
      <c r="G258" s="144" t="inlineStr">
        <is>
          <t>转录组文库</t>
        </is>
      </c>
      <c r="H258" s="144" t="inlineStr">
        <is>
          <t>武汉百易汇能生物科技有限公司</t>
        </is>
      </c>
      <c r="I258" s="146" t="n"/>
      <c r="J258" s="144" t="n"/>
      <c r="K258" s="144" t="inlineStr">
        <is>
          <t>0730-百易汇能-0023-G3</t>
        </is>
      </c>
      <c r="L258" s="147" t="inlineStr">
        <is>
          <t>补测_260731_R21016100250033_ML150026483</t>
        </is>
      </c>
      <c r="M258" s="147" t="n"/>
      <c r="N258" s="147" t="n">
        <v>59.97</v>
      </c>
      <c r="O258" s="147" t="inlineStr">
        <is>
          <t>华大双barcode文库</t>
        </is>
      </c>
      <c r="P258" s="147" t="inlineStr">
        <is>
          <t>已磷酸化</t>
        </is>
      </c>
      <c r="Q258" s="147" t="inlineStr">
        <is>
          <t>未环化</t>
        </is>
      </c>
      <c r="R258" s="147" t="inlineStr">
        <is>
          <t>A</t>
        </is>
      </c>
      <c r="S258" s="147" t="n"/>
    </row>
    <row r="259" ht="30" customHeight="1" s="76">
      <c r="A259" s="152" t="n"/>
      <c r="B259" s="144" t="inlineStr">
        <is>
          <t>HGC-Lib-26096179</t>
        </is>
      </c>
      <c r="C259" s="144" t="n">
        <v>60.37</v>
      </c>
      <c r="D259" s="145" t="n">
        <v>2</v>
      </c>
      <c r="E259" s="146">
        <f>ROUND(D259/SUM(D252:D264)*IF(C259="",50,300.0),3)</f>
        <v/>
      </c>
      <c r="F259" s="146">
        <f>ROUND(E259/C259*G265,3)</f>
        <v/>
      </c>
      <c r="G259" s="144" t="inlineStr">
        <is>
          <t>转录组文库</t>
        </is>
      </c>
      <c r="H259" s="144" t="inlineStr">
        <is>
          <t>武汉百易汇能生物科技有限公司</t>
        </is>
      </c>
      <c r="I259" s="146" t="n"/>
      <c r="J259" s="144" t="n"/>
      <c r="K259" s="144" t="inlineStr">
        <is>
          <t>0730-百易汇能-0023-C4</t>
        </is>
      </c>
      <c r="L259" s="147" t="inlineStr">
        <is>
          <t>补测_260731_R21016100250033_ML150026483</t>
        </is>
      </c>
      <c r="M259" s="147" t="n"/>
      <c r="N259" s="147" t="n">
        <v>60.37</v>
      </c>
      <c r="O259" s="147" t="inlineStr">
        <is>
          <t>华大双barcode文库</t>
        </is>
      </c>
      <c r="P259" s="147" t="inlineStr">
        <is>
          <t>已磷酸化</t>
        </is>
      </c>
      <c r="Q259" s="147" t="inlineStr">
        <is>
          <t>未环化</t>
        </is>
      </c>
      <c r="R259" s="147" t="inlineStr">
        <is>
          <t>A</t>
        </is>
      </c>
      <c r="S259" s="147" t="n"/>
    </row>
    <row r="260" ht="30" customHeight="1" s="76">
      <c r="A260" s="152" t="n"/>
      <c r="B260" s="144" t="inlineStr">
        <is>
          <t>HGC-Lib-26096181</t>
        </is>
      </c>
      <c r="C260" s="144" t="n">
        <v>59.15</v>
      </c>
      <c r="D260" s="145" t="n">
        <v>1</v>
      </c>
      <c r="E260" s="146">
        <f>ROUND(D260/SUM(D252:D264)*IF(C260="",50,300.0),3)</f>
        <v/>
      </c>
      <c r="F260" s="146">
        <f>ROUND(E260/C260*G265,3)</f>
        <v/>
      </c>
      <c r="G260" s="144" t="inlineStr">
        <is>
          <t>转录组文库</t>
        </is>
      </c>
      <c r="H260" s="144" t="inlineStr">
        <is>
          <t>武汉百易汇能生物科技有限公司</t>
        </is>
      </c>
      <c r="I260" s="146" t="n"/>
      <c r="J260" s="144" t="n"/>
      <c r="K260" s="144" t="inlineStr">
        <is>
          <t>0730-百易汇能-0023-E4</t>
        </is>
      </c>
      <c r="L260" s="147" t="inlineStr">
        <is>
          <t>补测_260731_R21016100250033_ML150026483</t>
        </is>
      </c>
      <c r="M260" s="147" t="n"/>
      <c r="N260" s="147" t="n">
        <v>59.15</v>
      </c>
      <c r="O260" s="147" t="inlineStr">
        <is>
          <t>华大双barcode文库</t>
        </is>
      </c>
      <c r="P260" s="147" t="inlineStr">
        <is>
          <t>已磷酸化</t>
        </is>
      </c>
      <c r="Q260" s="147" t="inlineStr">
        <is>
          <t>未环化</t>
        </is>
      </c>
      <c r="R260" s="147" t="inlineStr">
        <is>
          <t>A</t>
        </is>
      </c>
      <c r="S260" s="147" t="n"/>
    </row>
    <row r="261" ht="30" customHeight="1" s="76">
      <c r="A261" s="152" t="n"/>
      <c r="B261" s="144" t="inlineStr">
        <is>
          <t>HGC-Lib-26096182</t>
        </is>
      </c>
      <c r="C261" s="144" t="n">
        <v>57.55</v>
      </c>
      <c r="D261" s="145" t="n">
        <v>3</v>
      </c>
      <c r="E261" s="146">
        <f>ROUND(D261/SUM(D252:D264)*IF(C261="",50,300.0),3)</f>
        <v/>
      </c>
      <c r="F261" s="146">
        <f>ROUND(E261/C261*G265,3)</f>
        <v/>
      </c>
      <c r="G261" s="144" t="inlineStr">
        <is>
          <t>转录组文库</t>
        </is>
      </c>
      <c r="H261" s="144" t="inlineStr">
        <is>
          <t>武汉百易汇能生物科技有限公司</t>
        </is>
      </c>
      <c r="I261" s="146" t="n"/>
      <c r="J261" s="144" t="n"/>
      <c r="K261" s="144" t="inlineStr">
        <is>
          <t>0730-百易汇能-0023-F4</t>
        </is>
      </c>
      <c r="L261" s="147" t="inlineStr">
        <is>
          <t>补测_260731_R21016100250033_ML150026483</t>
        </is>
      </c>
      <c r="M261" s="147" t="n"/>
      <c r="N261" s="147" t="n">
        <v>57.55</v>
      </c>
      <c r="O261" s="147" t="inlineStr">
        <is>
          <t>华大双barcode文库</t>
        </is>
      </c>
      <c r="P261" s="147" t="inlineStr">
        <is>
          <t>已磷酸化</t>
        </is>
      </c>
      <c r="Q261" s="147" t="inlineStr">
        <is>
          <t>未环化</t>
        </is>
      </c>
      <c r="R261" s="147" t="inlineStr">
        <is>
          <t>A</t>
        </is>
      </c>
      <c r="S261" s="147" t="n"/>
    </row>
    <row r="262" ht="30" customHeight="1" s="76">
      <c r="A262" s="152" t="n"/>
      <c r="B262" s="144" t="inlineStr">
        <is>
          <t>HGC-Lib-26096183</t>
        </is>
      </c>
      <c r="C262" s="144" t="n">
        <v>54.74</v>
      </c>
      <c r="D262" s="145" t="n">
        <v>1</v>
      </c>
      <c r="E262" s="146">
        <f>ROUND(D262/SUM(D252:D264)*IF(C262="",50,300.0),3)</f>
        <v/>
      </c>
      <c r="F262" s="146">
        <f>ROUND(E262/C262*G265,3)</f>
        <v/>
      </c>
      <c r="G262" s="144" t="inlineStr">
        <is>
          <t>转录组文库</t>
        </is>
      </c>
      <c r="H262" s="144" t="inlineStr">
        <is>
          <t>武汉百易汇能生物科技有限公司</t>
        </is>
      </c>
      <c r="I262" s="146" t="n"/>
      <c r="J262" s="144" t="n"/>
      <c r="K262" s="144" t="inlineStr">
        <is>
          <t>0730-百易汇能-0023-G4</t>
        </is>
      </c>
      <c r="L262" s="147" t="inlineStr">
        <is>
          <t>补测_260731_R21016100250033_ML150026483</t>
        </is>
      </c>
      <c r="M262" s="147" t="n"/>
      <c r="N262" s="147" t="n">
        <v>54.74</v>
      </c>
      <c r="O262" s="147" t="inlineStr">
        <is>
          <t>华大双barcode文库</t>
        </is>
      </c>
      <c r="P262" s="147" t="inlineStr">
        <is>
          <t>已磷酸化</t>
        </is>
      </c>
      <c r="Q262" s="147" t="inlineStr">
        <is>
          <t>未环化</t>
        </is>
      </c>
      <c r="R262" s="147" t="inlineStr">
        <is>
          <t>A</t>
        </is>
      </c>
      <c r="S262" s="147" t="n"/>
    </row>
    <row r="263" ht="30" customHeight="1" s="76">
      <c r="A263" s="152" t="n"/>
      <c r="B263" s="144" t="inlineStr">
        <is>
          <t>HGC-Lib-26096185</t>
        </is>
      </c>
      <c r="C263" s="144" t="n">
        <v>83.54000000000001</v>
      </c>
      <c r="D263" s="145" t="n">
        <v>3</v>
      </c>
      <c r="E263" s="146">
        <f>ROUND(D263/SUM(D252:D264)*IF(C263="",50,300.0),3)</f>
        <v/>
      </c>
      <c r="F263" s="146">
        <f>ROUND(E263/C263*G265,3)</f>
        <v/>
      </c>
      <c r="G263" s="144" t="inlineStr">
        <is>
          <t>转录组文库</t>
        </is>
      </c>
      <c r="H263" s="144" t="inlineStr">
        <is>
          <t>武汉百易汇能生物科技有限公司</t>
        </is>
      </c>
      <c r="I263" s="146" t="n"/>
      <c r="J263" s="144" t="n"/>
      <c r="K263" s="144" t="inlineStr">
        <is>
          <t>0730-百易汇能-0023-A5</t>
        </is>
      </c>
      <c r="L263" s="147" t="inlineStr">
        <is>
          <t>补测_260731_R21016100250033_ML150026483</t>
        </is>
      </c>
      <c r="M263" s="147" t="n"/>
      <c r="N263" s="147" t="n">
        <v>83.54000000000001</v>
      </c>
      <c r="O263" s="147" t="inlineStr">
        <is>
          <t>华大双barcode文库</t>
        </is>
      </c>
      <c r="P263" s="147" t="inlineStr">
        <is>
          <t>已磷酸化</t>
        </is>
      </c>
      <c r="Q263" s="147" t="inlineStr">
        <is>
          <t>未环化</t>
        </is>
      </c>
      <c r="R263" s="147" t="inlineStr">
        <is>
          <t>A</t>
        </is>
      </c>
      <c r="S263" s="147" t="n"/>
    </row>
    <row r="264" ht="30" customHeight="1" s="76">
      <c r="A264" s="153" t="n"/>
      <c r="B264" s="144" t="inlineStr">
        <is>
          <t>HGC-Lib-26096186</t>
        </is>
      </c>
      <c r="C264" s="144" t="n">
        <v>79.14</v>
      </c>
      <c r="D264" s="145" t="n">
        <v>2</v>
      </c>
      <c r="E264" s="146">
        <f>ROUND(D264/SUM(D252:D264)*IF(C264="",50,300.0),3)</f>
        <v/>
      </c>
      <c r="F264" s="146">
        <f>ROUND(E264/C264*G265,3)</f>
        <v/>
      </c>
      <c r="G264" s="144" t="inlineStr">
        <is>
          <t>转录组文库</t>
        </is>
      </c>
      <c r="H264" s="144" t="inlineStr">
        <is>
          <t>武汉百易汇能生物科技有限公司</t>
        </is>
      </c>
      <c r="I264" s="146" t="n"/>
      <c r="J264" s="144" t="n"/>
      <c r="K264" s="144" t="inlineStr">
        <is>
          <t>0730-百易汇能-0023-B5</t>
        </is>
      </c>
      <c r="L264" s="147" t="inlineStr">
        <is>
          <t>补测_260731_R21016100250033_ML150026483</t>
        </is>
      </c>
      <c r="M264" s="147" t="n"/>
      <c r="N264" s="147" t="n">
        <v>79.14</v>
      </c>
      <c r="O264" s="147" t="inlineStr">
        <is>
          <t>华大双barcode文库</t>
        </is>
      </c>
      <c r="P264" s="147" t="inlineStr">
        <is>
          <t>已磷酸化</t>
        </is>
      </c>
      <c r="Q264" s="147" t="inlineStr">
        <is>
          <t>未环化</t>
        </is>
      </c>
      <c r="R264" s="147" t="inlineStr">
        <is>
          <t>A</t>
        </is>
      </c>
      <c r="S264" s="147" t="n"/>
    </row>
    <row r="265" ht="30" customHeight="1" s="76">
      <c r="A265" s="148" t="n"/>
      <c r="B265" s="147" t="n">
        <v>13</v>
      </c>
      <c r="C265" s="148" t="n"/>
      <c r="D265" s="149">
        <f>ROUND(SUM(D252:D264),2)</f>
        <v/>
      </c>
      <c r="E265" s="150">
        <f>ROUND(SUM(E252:E264),3)</f>
        <v/>
      </c>
      <c r="F265" s="150">
        <f>IF(G265&gt;1,ROUND(SUM(F252:F264)/G265*2,3),ROUND(SUM(F252:F264),3))</f>
        <v/>
      </c>
      <c r="G265" s="147" t="n">
        <v>6</v>
      </c>
      <c r="H265" s="148" t="n"/>
      <c r="I265" s="151">
        <f>ROUND(40-F265,3)</f>
        <v/>
      </c>
      <c r="J265" s="148" t="n"/>
      <c r="K265" s="148" t="n"/>
      <c r="L265" s="148" t="n"/>
      <c r="M265" s="147">
        <f>AVERAGE(M252:M264)</f>
        <v/>
      </c>
      <c r="N265" s="148" t="n"/>
      <c r="O265" s="148" t="n"/>
      <c r="P265" s="148" t="n"/>
      <c r="Q265" s="148" t="n"/>
      <c r="R265" s="148" t="n"/>
      <c r="S265" s="148" t="n"/>
    </row>
  </sheetData>
  <mergeCells count="12">
    <mergeCell ref="A4:A7"/>
    <mergeCell ref="A233:A235"/>
    <mergeCell ref="A96:A204"/>
    <mergeCell ref="A237:A245"/>
    <mergeCell ref="A206:A211"/>
    <mergeCell ref="A252:A264"/>
    <mergeCell ref="A9:A10"/>
    <mergeCell ref="A12:A84"/>
    <mergeCell ref="A217:A219"/>
    <mergeCell ref="A86:A94"/>
    <mergeCell ref="A221:A227"/>
    <mergeCell ref="A247:A248"/>
  </mergeCells>
  <conditionalFormatting sqref="A1">
    <cfRule type="duplicateValues" priority="8" dxfId="0"/>
  </conditionalFormatting>
  <conditionalFormatting sqref="B1">
    <cfRule type="duplicateValues" priority="7" dxfId="0"/>
    <cfRule type="duplicateValues" priority="9" dxfId="0"/>
  </conditionalFormatting>
  <conditionalFormatting sqref="B2:B1048576">
    <cfRule type="duplicateValues" priority="10" dxfId="0"/>
  </conditionalFormatting>
  <pageMargins left="0.75" right="0.75" top="1" bottom="1" header="0.5" footer="0.5"/>
  <pageSetup orientation="portrait" paperSize="9" scale="17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S141"/>
  <sheetViews>
    <sheetView workbookViewId="0">
      <selection activeCell="A1" sqref="A1"/>
    </sheetView>
  </sheetViews>
  <sheetFormatPr baseColWidth="8" defaultColWidth="8.75" defaultRowHeight="30" customHeight="1"/>
  <cols>
    <col width="12" customWidth="1" style="27" min="1" max="1"/>
    <col width="20" customWidth="1" style="27" min="2" max="2"/>
    <col width="22" customWidth="1" style="84" min="3" max="3"/>
    <col width="28" customWidth="1" style="84" min="4" max="4"/>
    <col width="54" customWidth="1" style="85" min="5" max="5"/>
    <col width="60" customWidth="1" style="86" min="6" max="6"/>
    <col width="25" customWidth="1" style="27" min="7" max="7"/>
    <col width="32" customWidth="1" style="27" min="8" max="8"/>
    <col width="27" customWidth="1" style="84" min="9" max="9"/>
    <col width="8" customWidth="1" style="87" min="10" max="10"/>
    <col width="19" customWidth="1" style="76" min="11" max="11"/>
    <col width="39" customWidth="1" style="87" min="12" max="12"/>
    <col width="23" customWidth="1" style="27" min="13" max="13"/>
    <col width="22" customWidth="1" style="27" min="14" max="14"/>
    <col width="23" customWidth="1" style="27" min="15" max="15"/>
    <col width="12" customWidth="1" style="27" min="16" max="16"/>
    <col width="10" customWidth="1" style="27" min="17" max="17"/>
    <col width="16" customWidth="1" style="27" min="18" max="18"/>
    <col width="12" customWidth="1" style="27" min="19" max="19"/>
    <col width="8.75" customWidth="1" style="27" min="20" max="21"/>
    <col width="9.125" customWidth="1" style="27" min="22" max="22"/>
    <col width="8.75" customWidth="1" style="27" min="23" max="29"/>
    <col width="8.75" customWidth="1" style="27" min="30" max="16384"/>
  </cols>
  <sheetData>
    <row r="1" ht="90" customFormat="1" customHeight="1" s="26">
      <c r="A1" s="60" t="inlineStr">
        <is>
          <t>Lane编号</t>
        </is>
      </c>
      <c r="B1" s="32" t="inlineStr">
        <is>
          <t>文库编号</t>
        </is>
      </c>
      <c r="C1" s="88" t="inlineStr">
        <is>
          <t>Qubit浓度（ng/ul）</t>
        </is>
      </c>
      <c r="D1" s="88" t="inlineStr">
        <is>
          <t>数据量（G)</t>
        </is>
      </c>
      <c r="E1" s="89" t="inlineStr">
        <is>
          <t>文库摩尔质量（nM）</t>
        </is>
      </c>
      <c r="F1" s="90" t="inlineStr">
        <is>
          <t>最终取样体积（ul）</t>
        </is>
      </c>
      <c r="G1" s="32" t="inlineStr">
        <is>
          <t>文库类型</t>
        </is>
      </c>
      <c r="H1" s="91" t="inlineStr">
        <is>
          <t>客户单位</t>
        </is>
      </c>
      <c r="I1" s="92" t="inlineStr">
        <is>
          <t>TE Buffer补充体积（uL）</t>
        </is>
      </c>
      <c r="J1" s="93" t="inlineStr">
        <is>
          <t>孔号</t>
        </is>
      </c>
      <c r="K1" s="93" t="inlineStr">
        <is>
          <t>板号</t>
        </is>
      </c>
      <c r="L1" s="93" t="inlineStr">
        <is>
          <t>备注</t>
        </is>
      </c>
      <c r="M1" s="62" t="inlineStr">
        <is>
          <t>片段</t>
        </is>
      </c>
      <c r="N1" s="62" t="inlineStr">
        <is>
          <t>Qubit浓度（ng/ul）</t>
        </is>
      </c>
      <c r="O1" s="62" t="inlineStr">
        <is>
          <t>文库结构</t>
        </is>
      </c>
      <c r="P1" s="62" t="inlineStr">
        <is>
          <t>磷酸化*</t>
        </is>
      </c>
      <c r="Q1" s="62" t="inlineStr">
        <is>
          <t>环化*</t>
        </is>
      </c>
      <c r="R1" s="77" t="inlineStr">
        <is>
          <t>人工检测结果</t>
        </is>
      </c>
      <c r="S1" s="77" t="inlineStr">
        <is>
          <t>人工备注</t>
        </is>
      </c>
    </row>
    <row r="2" ht="30" customHeight="1" s="76">
      <c r="A2" s="144" t="inlineStr">
        <is>
          <t>C1</t>
        </is>
      </c>
      <c r="B2" s="144" t="inlineStr">
        <is>
          <t>HGC-Lib-26098776</t>
        </is>
      </c>
      <c r="C2" s="144" t="n">
        <v>36.09</v>
      </c>
      <c r="D2" s="145" t="n">
        <v>90</v>
      </c>
      <c r="E2" s="146">
        <f>ROUND(D2/SUM(D2:D2)*IF(C2="",50,50.0),3)</f>
        <v/>
      </c>
      <c r="F2" s="146">
        <f>ROUND(E2/C2*G3,3)</f>
        <v/>
      </c>
      <c r="G2" s="144" t="inlineStr">
        <is>
          <t>10X-3-转录组</t>
        </is>
      </c>
      <c r="H2" s="144" t="inlineStr">
        <is>
          <t>广州奥智生物科技有限公司</t>
        </is>
      </c>
      <c r="I2" s="146" t="n"/>
      <c r="J2" s="144" t="n"/>
      <c r="K2" s="144" t="n"/>
      <c r="L2" s="147" t="n"/>
      <c r="M2" s="147" t="n"/>
      <c r="N2" s="147" t="n">
        <v>36.09</v>
      </c>
      <c r="O2" s="147" t="inlineStr">
        <is>
          <t>Illumina Truseq文库</t>
        </is>
      </c>
      <c r="P2" s="147" t="inlineStr">
        <is>
          <t>未磷酸化</t>
        </is>
      </c>
      <c r="Q2" s="147" t="inlineStr">
        <is>
          <t>未环化</t>
        </is>
      </c>
      <c r="R2" s="147" t="inlineStr">
        <is>
          <t>A</t>
        </is>
      </c>
      <c r="S2" s="147" t="n"/>
    </row>
    <row r="3" ht="30" customHeight="1" s="76">
      <c r="A3" s="148" t="n"/>
      <c r="B3" s="147" t="n">
        <v>1</v>
      </c>
      <c r="C3" s="148" t="n"/>
      <c r="D3" s="149">
        <f>ROUND(SUM(D2:D2),2)</f>
        <v/>
      </c>
      <c r="E3" s="150">
        <f>ROUND(SUM(E2:E2),3)</f>
        <v/>
      </c>
      <c r="F3" s="150">
        <f>IF(G3&gt;1,ROUND(SUM(F2:F2)/G3*2,3),ROUND(SUM(F2:F2),3))</f>
        <v/>
      </c>
      <c r="G3" s="147" t="n">
        <v>1</v>
      </c>
      <c r="H3" s="148" t="n"/>
      <c r="I3" s="151">
        <f>ROUND(20-F3,3)</f>
        <v/>
      </c>
      <c r="J3" s="148" t="n"/>
      <c r="K3" s="148" t="n"/>
      <c r="L3" s="148" t="n"/>
      <c r="M3" s="147">
        <f>AVERAGE(M2:M2)</f>
        <v/>
      </c>
      <c r="N3" s="148" t="n"/>
      <c r="O3" s="148" t="n"/>
      <c r="P3" s="148" t="n"/>
      <c r="Q3" s="148" t="n"/>
      <c r="R3" s="148" t="n"/>
      <c r="S3" s="148" t="n"/>
    </row>
    <row r="4" ht="30" customHeight="1" s="76">
      <c r="A4" s="144" t="inlineStr">
        <is>
          <t>C2</t>
        </is>
      </c>
      <c r="B4" s="144" t="inlineStr">
        <is>
          <t>HGC-Lib-26098777</t>
        </is>
      </c>
      <c r="C4" s="144" t="n">
        <v>48</v>
      </c>
      <c r="D4" s="145" t="n">
        <v>6</v>
      </c>
      <c r="E4" s="146">
        <f>ROUND(D4/SUM(D4:D4)*IF(C4="",50,50.0),3)</f>
        <v/>
      </c>
      <c r="F4" s="146">
        <f>ROUND(E4/C4*G5,3)</f>
        <v/>
      </c>
      <c r="G4" s="144" t="inlineStr">
        <is>
          <t>10X-BCR</t>
        </is>
      </c>
      <c r="H4" s="144" t="inlineStr">
        <is>
          <t>广州奥智生物科技有限公司</t>
        </is>
      </c>
      <c r="I4" s="146" t="n"/>
      <c r="J4" s="144" t="n"/>
      <c r="K4" s="144" t="n"/>
      <c r="L4" s="147" t="n"/>
      <c r="M4" s="147" t="n"/>
      <c r="N4" s="147" t="n">
        <v>48</v>
      </c>
      <c r="O4" s="147" t="inlineStr">
        <is>
          <t>Illumina Truseq文库</t>
        </is>
      </c>
      <c r="P4" s="147" t="inlineStr">
        <is>
          <t>未磷酸化</t>
        </is>
      </c>
      <c r="Q4" s="147" t="inlineStr">
        <is>
          <t>未环化</t>
        </is>
      </c>
      <c r="R4" s="147" t="inlineStr">
        <is>
          <t>A</t>
        </is>
      </c>
      <c r="S4" s="147" t="n"/>
    </row>
    <row r="5" ht="30" customHeight="1" s="76">
      <c r="A5" s="148" t="n"/>
      <c r="B5" s="147" t="n">
        <v>1</v>
      </c>
      <c r="C5" s="148" t="n"/>
      <c r="D5" s="149">
        <f>ROUND(SUM(D4:D4),2)</f>
        <v/>
      </c>
      <c r="E5" s="150">
        <f>ROUND(SUM(E4:E4),3)</f>
        <v/>
      </c>
      <c r="F5" s="150">
        <f>IF(G5&gt;1,ROUND(SUM(F4:F4)/G5*2,3),ROUND(SUM(F4:F4),3))</f>
        <v/>
      </c>
      <c r="G5" s="147" t="n">
        <v>1</v>
      </c>
      <c r="H5" s="148" t="n"/>
      <c r="I5" s="151">
        <f>ROUND(20-F5,3)</f>
        <v/>
      </c>
      <c r="J5" s="148" t="n"/>
      <c r="K5" s="148" t="n"/>
      <c r="L5" s="148" t="n"/>
      <c r="M5" s="147">
        <f>AVERAGE(M4:M4)</f>
        <v/>
      </c>
      <c r="N5" s="148" t="n"/>
      <c r="O5" s="148" t="n"/>
      <c r="P5" s="148" t="n"/>
      <c r="Q5" s="148" t="n"/>
      <c r="R5" s="148" t="n"/>
      <c r="S5" s="148" t="n"/>
    </row>
    <row r="6" ht="30" customHeight="1" s="76">
      <c r="A6" s="144" t="inlineStr">
        <is>
          <t>C3</t>
        </is>
      </c>
      <c r="B6" s="144" t="inlineStr">
        <is>
          <t>HGC-Lib-26097397</t>
        </is>
      </c>
      <c r="C6" s="144" t="n">
        <v>75.438</v>
      </c>
      <c r="D6" s="145" t="n">
        <v>5</v>
      </c>
      <c r="E6" s="146">
        <f>ROUND(D6/SUM(D6:D67)*IF(C6="",50,50.0),3)</f>
        <v/>
      </c>
      <c r="F6" s="146">
        <f>ROUND(E6/C6*G68,3)</f>
        <v/>
      </c>
      <c r="G6" s="144" t="inlineStr">
        <is>
          <t>有参转录组（RNA-seq）</t>
        </is>
      </c>
      <c r="H6" s="144" t="inlineStr">
        <is>
          <t>广州奥智生物科技有限公司</t>
        </is>
      </c>
      <c r="I6" s="146" t="n"/>
      <c r="J6" s="144" t="n"/>
      <c r="K6" s="144" t="inlineStr">
        <is>
          <t>26.7.28-1_C11</t>
        </is>
      </c>
      <c r="L6" s="147" t="n"/>
      <c r="M6" s="147" t="n"/>
      <c r="N6" s="147" t="n">
        <v>75.438</v>
      </c>
      <c r="O6" s="147" t="inlineStr">
        <is>
          <t>Illumina Truseq文库</t>
        </is>
      </c>
      <c r="P6" s="147" t="inlineStr">
        <is>
          <t>未磷酸化</t>
        </is>
      </c>
      <c r="Q6" s="147" t="inlineStr">
        <is>
          <t>未环化</t>
        </is>
      </c>
      <c r="R6" s="147" t="inlineStr">
        <is>
          <t>A</t>
        </is>
      </c>
      <c r="S6" s="147" t="n"/>
    </row>
    <row r="7" ht="30" customHeight="1" s="76">
      <c r="A7" s="152" t="n"/>
      <c r="B7" s="144" t="inlineStr">
        <is>
          <t>HGC-Lib-26097398</t>
        </is>
      </c>
      <c r="C7" s="144" t="n">
        <v>71.09099999999999</v>
      </c>
      <c r="D7" s="145" t="n">
        <v>5</v>
      </c>
      <c r="E7" s="146">
        <f>ROUND(D7/SUM(D6:D67)*IF(C7="",50,50.0),3)</f>
        <v/>
      </c>
      <c r="F7" s="146">
        <f>ROUND(E7/C7*G68,3)</f>
        <v/>
      </c>
      <c r="G7" s="144" t="inlineStr">
        <is>
          <t>有参转录组（RNA-seq）</t>
        </is>
      </c>
      <c r="H7" s="144" t="inlineStr">
        <is>
          <t>广州奥智生物科技有限公司</t>
        </is>
      </c>
      <c r="I7" s="146" t="n"/>
      <c r="J7" s="144" t="n"/>
      <c r="K7" s="144" t="inlineStr">
        <is>
          <t>26.7.28-1_C12</t>
        </is>
      </c>
      <c r="L7" s="147" t="n"/>
      <c r="M7" s="147" t="n"/>
      <c r="N7" s="147" t="n">
        <v>71.09099999999999</v>
      </c>
      <c r="O7" s="147" t="inlineStr">
        <is>
          <t>Illumina Truseq文库</t>
        </is>
      </c>
      <c r="P7" s="147" t="inlineStr">
        <is>
          <t>未磷酸化</t>
        </is>
      </c>
      <c r="Q7" s="147" t="inlineStr">
        <is>
          <t>未环化</t>
        </is>
      </c>
      <c r="R7" s="147" t="inlineStr">
        <is>
          <t>A</t>
        </is>
      </c>
      <c r="S7" s="147" t="n"/>
    </row>
    <row r="8" ht="30" customHeight="1" s="76">
      <c r="A8" s="152" t="n"/>
      <c r="B8" s="144" t="inlineStr">
        <is>
          <t>HGC-Lib-26097399</t>
        </is>
      </c>
      <c r="C8" s="144" t="n">
        <v>72.20699999999999</v>
      </c>
      <c r="D8" s="145" t="n">
        <v>5</v>
      </c>
      <c r="E8" s="146">
        <f>ROUND(D8/SUM(D6:D67)*IF(C8="",50,50.0),3)</f>
        <v/>
      </c>
      <c r="F8" s="146">
        <f>ROUND(E8/C8*G68,3)</f>
        <v/>
      </c>
      <c r="G8" s="144" t="inlineStr">
        <is>
          <t>有参转录组（RNA-seq）</t>
        </is>
      </c>
      <c r="H8" s="144" t="inlineStr">
        <is>
          <t>广州奥智生物科技有限公司</t>
        </is>
      </c>
      <c r="I8" s="146" t="n"/>
      <c r="J8" s="144" t="n"/>
      <c r="K8" s="144" t="inlineStr">
        <is>
          <t>26.7.28-1_D1</t>
        </is>
      </c>
      <c r="L8" s="147" t="n"/>
      <c r="M8" s="147" t="n"/>
      <c r="N8" s="147" t="n">
        <v>72.20699999999999</v>
      </c>
      <c r="O8" s="147" t="inlineStr">
        <is>
          <t>Illumina Truseq文库</t>
        </is>
      </c>
      <c r="P8" s="147" t="inlineStr">
        <is>
          <t>未磷酸化</t>
        </is>
      </c>
      <c r="Q8" s="147" t="inlineStr">
        <is>
          <t>未环化</t>
        </is>
      </c>
      <c r="R8" s="147" t="inlineStr">
        <is>
          <t>A</t>
        </is>
      </c>
      <c r="S8" s="147" t="n"/>
    </row>
    <row r="9" ht="30" customHeight="1" s="76">
      <c r="A9" s="152" t="n"/>
      <c r="B9" s="144" t="inlineStr">
        <is>
          <t>HGC-Lib-26097400</t>
        </is>
      </c>
      <c r="C9" s="144" t="n">
        <v>34.74</v>
      </c>
      <c r="D9" s="145" t="n">
        <v>5</v>
      </c>
      <c r="E9" s="146">
        <f>ROUND(D9/SUM(D6:D67)*IF(C9="",50,50.0),3)</f>
        <v/>
      </c>
      <c r="F9" s="146">
        <f>ROUND(E9/C9*G68,3)</f>
        <v/>
      </c>
      <c r="G9" s="144" t="inlineStr">
        <is>
          <t>有参转录组（RNA-seq）</t>
        </is>
      </c>
      <c r="H9" s="144" t="inlineStr">
        <is>
          <t>广州奥智生物科技有限公司</t>
        </is>
      </c>
      <c r="I9" s="146" t="n"/>
      <c r="J9" s="144" t="n"/>
      <c r="K9" s="144" t="inlineStr">
        <is>
          <t>26.7.28-1_D2</t>
        </is>
      </c>
      <c r="L9" s="147" t="n"/>
      <c r="M9" s="147" t="n"/>
      <c r="N9" s="147" t="n">
        <v>34.74</v>
      </c>
      <c r="O9" s="147" t="inlineStr">
        <is>
          <t>Illumina Truseq文库</t>
        </is>
      </c>
      <c r="P9" s="147" t="inlineStr">
        <is>
          <t>未磷酸化</t>
        </is>
      </c>
      <c r="Q9" s="147" t="inlineStr">
        <is>
          <t>未环化</t>
        </is>
      </c>
      <c r="R9" s="147" t="inlineStr">
        <is>
          <t>A</t>
        </is>
      </c>
      <c r="S9" s="147" t="n"/>
    </row>
    <row r="10" ht="30" customHeight="1" s="76">
      <c r="A10" s="152" t="n"/>
      <c r="B10" s="144" t="inlineStr">
        <is>
          <t>HGC-Lib-26097401</t>
        </is>
      </c>
      <c r="C10" s="144" t="n">
        <v>37.26</v>
      </c>
      <c r="D10" s="145" t="n">
        <v>5</v>
      </c>
      <c r="E10" s="146">
        <f>ROUND(D10/SUM(D6:D67)*IF(C10="",50,50.0),3)</f>
        <v/>
      </c>
      <c r="F10" s="146">
        <f>ROUND(E10/C10*G68,3)</f>
        <v/>
      </c>
      <c r="G10" s="144" t="inlineStr">
        <is>
          <t>有参转录组（RNA-seq）</t>
        </is>
      </c>
      <c r="H10" s="144" t="inlineStr">
        <is>
          <t>广州奥智生物科技有限公司</t>
        </is>
      </c>
      <c r="I10" s="146" t="n"/>
      <c r="J10" s="144" t="n"/>
      <c r="K10" s="144" t="inlineStr">
        <is>
          <t>26.7.28-1_D3</t>
        </is>
      </c>
      <c r="L10" s="147" t="n"/>
      <c r="M10" s="147" t="n"/>
      <c r="N10" s="147" t="n">
        <v>37.26</v>
      </c>
      <c r="O10" s="147" t="inlineStr">
        <is>
          <t>Illumina Truseq文库</t>
        </is>
      </c>
      <c r="P10" s="147" t="inlineStr">
        <is>
          <t>未磷酸化</t>
        </is>
      </c>
      <c r="Q10" s="147" t="inlineStr">
        <is>
          <t>未环化</t>
        </is>
      </c>
      <c r="R10" s="147" t="inlineStr">
        <is>
          <t>A</t>
        </is>
      </c>
      <c r="S10" s="147" t="n"/>
    </row>
    <row r="11" ht="30" customHeight="1" s="76">
      <c r="A11" s="152" t="n"/>
      <c r="B11" s="144" t="inlineStr">
        <is>
          <t>HGC-Lib-26097402</t>
        </is>
      </c>
      <c r="C11" s="144" t="n">
        <v>31.14</v>
      </c>
      <c r="D11" s="145" t="n">
        <v>5</v>
      </c>
      <c r="E11" s="146">
        <f>ROUND(D11/SUM(D6:D67)*IF(C11="",50,50.0),3)</f>
        <v/>
      </c>
      <c r="F11" s="146">
        <f>ROUND(E11/C11*G68,3)</f>
        <v/>
      </c>
      <c r="G11" s="144" t="inlineStr">
        <is>
          <t>有参转录组（RNA-seq）</t>
        </is>
      </c>
      <c r="H11" s="144" t="inlineStr">
        <is>
          <t>广州奥智生物科技有限公司</t>
        </is>
      </c>
      <c r="I11" s="146" t="n"/>
      <c r="J11" s="144" t="n"/>
      <c r="K11" s="144" t="inlineStr">
        <is>
          <t>26.7.28-1_D4</t>
        </is>
      </c>
      <c r="L11" s="147" t="n"/>
      <c r="M11" s="147" t="n"/>
      <c r="N11" s="147" t="n">
        <v>31.14</v>
      </c>
      <c r="O11" s="147" t="inlineStr">
        <is>
          <t>Illumina Truseq文库</t>
        </is>
      </c>
      <c r="P11" s="147" t="inlineStr">
        <is>
          <t>未磷酸化</t>
        </is>
      </c>
      <c r="Q11" s="147" t="inlineStr">
        <is>
          <t>未环化</t>
        </is>
      </c>
      <c r="R11" s="147" t="inlineStr">
        <is>
          <t>A</t>
        </is>
      </c>
      <c r="S11" s="147" t="n"/>
    </row>
    <row r="12" ht="30" customHeight="1" s="76">
      <c r="A12" s="152" t="n"/>
      <c r="B12" s="144" t="inlineStr">
        <is>
          <t>HGC-Lib-26097403</t>
        </is>
      </c>
      <c r="C12" s="144" t="n">
        <v>59.94</v>
      </c>
      <c r="D12" s="145" t="n">
        <v>5</v>
      </c>
      <c r="E12" s="146">
        <f>ROUND(D12/SUM(D6:D67)*IF(C12="",50,50.0),3)</f>
        <v/>
      </c>
      <c r="F12" s="146">
        <f>ROUND(E12/C12*G68,3)</f>
        <v/>
      </c>
      <c r="G12" s="144" t="inlineStr">
        <is>
          <t>有参转录组（RNA-seq）</t>
        </is>
      </c>
      <c r="H12" s="144" t="inlineStr">
        <is>
          <t>广州奥智生物科技有限公司</t>
        </is>
      </c>
      <c r="I12" s="146" t="n"/>
      <c r="J12" s="144" t="n"/>
      <c r="K12" s="144" t="inlineStr">
        <is>
          <t>26.7.28-1_D5</t>
        </is>
      </c>
      <c r="L12" s="147" t="n"/>
      <c r="M12" s="147" t="n"/>
      <c r="N12" s="147" t="n">
        <v>59.94</v>
      </c>
      <c r="O12" s="147" t="inlineStr">
        <is>
          <t>Illumina Truseq文库</t>
        </is>
      </c>
      <c r="P12" s="147" t="inlineStr">
        <is>
          <t>未磷酸化</t>
        </is>
      </c>
      <c r="Q12" s="147" t="inlineStr">
        <is>
          <t>未环化</t>
        </is>
      </c>
      <c r="R12" s="147" t="inlineStr">
        <is>
          <t>A</t>
        </is>
      </c>
      <c r="S12" s="147" t="n"/>
    </row>
    <row r="13" ht="30" customHeight="1" s="76">
      <c r="A13" s="152" t="n"/>
      <c r="B13" s="144" t="inlineStr">
        <is>
          <t>HGC-Lib-26097404</t>
        </is>
      </c>
      <c r="C13" s="144" t="n">
        <v>70.929</v>
      </c>
      <c r="D13" s="145" t="n">
        <v>5</v>
      </c>
      <c r="E13" s="146">
        <f>ROUND(D13/SUM(D6:D67)*IF(C13="",50,50.0),3)</f>
        <v/>
      </c>
      <c r="F13" s="146">
        <f>ROUND(E13/C13*G68,3)</f>
        <v/>
      </c>
      <c r="G13" s="144" t="inlineStr">
        <is>
          <t>有参转录组（RNA-seq）</t>
        </is>
      </c>
      <c r="H13" s="144" t="inlineStr">
        <is>
          <t>广州奥智生物科技有限公司</t>
        </is>
      </c>
      <c r="I13" s="146" t="n"/>
      <c r="J13" s="144" t="n"/>
      <c r="K13" s="144" t="inlineStr">
        <is>
          <t>26.7.28-1_D6</t>
        </is>
      </c>
      <c r="L13" s="147" t="n"/>
      <c r="M13" s="147" t="n"/>
      <c r="N13" s="147" t="n">
        <v>70.929</v>
      </c>
      <c r="O13" s="147" t="inlineStr">
        <is>
          <t>Illumina Truseq文库</t>
        </is>
      </c>
      <c r="P13" s="147" t="inlineStr">
        <is>
          <t>未磷酸化</t>
        </is>
      </c>
      <c r="Q13" s="147" t="inlineStr">
        <is>
          <t>未环化</t>
        </is>
      </c>
      <c r="R13" s="147" t="inlineStr">
        <is>
          <t>A</t>
        </is>
      </c>
      <c r="S13" s="147" t="n"/>
    </row>
    <row r="14" ht="30" customHeight="1" s="76">
      <c r="A14" s="152" t="n"/>
      <c r="B14" s="144" t="inlineStr">
        <is>
          <t>HGC-Lib-26097405</t>
        </is>
      </c>
      <c r="C14" s="144" t="n">
        <v>81.92700000000001</v>
      </c>
      <c r="D14" s="145" t="n">
        <v>5</v>
      </c>
      <c r="E14" s="146">
        <f>ROUND(D14/SUM(D6:D67)*IF(C14="",50,50.0),3)</f>
        <v/>
      </c>
      <c r="F14" s="146">
        <f>ROUND(E14/C14*G68,3)</f>
        <v/>
      </c>
      <c r="G14" s="144" t="inlineStr">
        <is>
          <t>有参转录组（RNA-seq）</t>
        </is>
      </c>
      <c r="H14" s="144" t="inlineStr">
        <is>
          <t>广州奥智生物科技有限公司</t>
        </is>
      </c>
      <c r="I14" s="146" t="n"/>
      <c r="J14" s="144" t="n"/>
      <c r="K14" s="144" t="inlineStr">
        <is>
          <t>26.7.28-1_D7</t>
        </is>
      </c>
      <c r="L14" s="147" t="n"/>
      <c r="M14" s="147" t="n"/>
      <c r="N14" s="147" t="n">
        <v>81.92700000000001</v>
      </c>
      <c r="O14" s="147" t="inlineStr">
        <is>
          <t>Illumina Truseq文库</t>
        </is>
      </c>
      <c r="P14" s="147" t="inlineStr">
        <is>
          <t>未磷酸化</t>
        </is>
      </c>
      <c r="Q14" s="147" t="inlineStr">
        <is>
          <t>未环化</t>
        </is>
      </c>
      <c r="R14" s="147" t="inlineStr">
        <is>
          <t>A</t>
        </is>
      </c>
      <c r="S14" s="147" t="n"/>
    </row>
    <row r="15" ht="30" customHeight="1" s="76">
      <c r="A15" s="152" t="n"/>
      <c r="B15" s="144" t="inlineStr">
        <is>
          <t>HGC-Lib-26097406</t>
        </is>
      </c>
      <c r="C15" s="144" t="n">
        <v>82.53</v>
      </c>
      <c r="D15" s="145" t="n">
        <v>5</v>
      </c>
      <c r="E15" s="146">
        <f>ROUND(D15/SUM(D6:D67)*IF(C15="",50,50.0),3)</f>
        <v/>
      </c>
      <c r="F15" s="146">
        <f>ROUND(E15/C15*G68,3)</f>
        <v/>
      </c>
      <c r="G15" s="144" t="inlineStr">
        <is>
          <t>有参转录组（RNA-seq）</t>
        </is>
      </c>
      <c r="H15" s="144" t="inlineStr">
        <is>
          <t>广州奥智生物科技有限公司</t>
        </is>
      </c>
      <c r="I15" s="146" t="n"/>
      <c r="J15" s="144" t="n"/>
      <c r="K15" s="144" t="inlineStr">
        <is>
          <t>26.7.28-1_D8</t>
        </is>
      </c>
      <c r="L15" s="147" t="n"/>
      <c r="M15" s="147" t="n"/>
      <c r="N15" s="147" t="n">
        <v>82.53</v>
      </c>
      <c r="O15" s="147" t="inlineStr">
        <is>
          <t>Illumina Truseq文库</t>
        </is>
      </c>
      <c r="P15" s="147" t="inlineStr">
        <is>
          <t>未磷酸化</t>
        </is>
      </c>
      <c r="Q15" s="147" t="inlineStr">
        <is>
          <t>未环化</t>
        </is>
      </c>
      <c r="R15" s="147" t="inlineStr">
        <is>
          <t>A</t>
        </is>
      </c>
      <c r="S15" s="147" t="n"/>
    </row>
    <row r="16" ht="30" customHeight="1" s="76">
      <c r="A16" s="152" t="n"/>
      <c r="B16" s="144" t="inlineStr">
        <is>
          <t>HGC-Lib-26097407</t>
        </is>
      </c>
      <c r="C16" s="144" t="n">
        <v>65.43899999999999</v>
      </c>
      <c r="D16" s="145" t="n">
        <v>5</v>
      </c>
      <c r="E16" s="146">
        <f>ROUND(D16/SUM(D6:D67)*IF(C16="",50,50.0),3)</f>
        <v/>
      </c>
      <c r="F16" s="146">
        <f>ROUND(E16/C16*G68,3)</f>
        <v/>
      </c>
      <c r="G16" s="144" t="inlineStr">
        <is>
          <t>有参转录组（RNA-seq）</t>
        </is>
      </c>
      <c r="H16" s="144" t="inlineStr">
        <is>
          <t>广州奥智生物科技有限公司</t>
        </is>
      </c>
      <c r="I16" s="146" t="n"/>
      <c r="J16" s="144" t="n"/>
      <c r="K16" s="144" t="inlineStr">
        <is>
          <t>26.7.28-1_D9</t>
        </is>
      </c>
      <c r="L16" s="147" t="n"/>
      <c r="M16" s="147" t="n"/>
      <c r="N16" s="147" t="n">
        <v>65.43899999999999</v>
      </c>
      <c r="O16" s="147" t="inlineStr">
        <is>
          <t>Illumina Truseq文库</t>
        </is>
      </c>
      <c r="P16" s="147" t="inlineStr">
        <is>
          <t>未磷酸化</t>
        </is>
      </c>
      <c r="Q16" s="147" t="inlineStr">
        <is>
          <t>未环化</t>
        </is>
      </c>
      <c r="R16" s="147" t="inlineStr">
        <is>
          <t>A</t>
        </is>
      </c>
      <c r="S16" s="147" t="n"/>
    </row>
    <row r="17" ht="30" customHeight="1" s="76">
      <c r="A17" s="152" t="n"/>
      <c r="B17" s="144" t="inlineStr">
        <is>
          <t>HGC-Lib-26097408</t>
        </is>
      </c>
      <c r="C17" s="144" t="n">
        <v>75.078</v>
      </c>
      <c r="D17" s="145" t="n">
        <v>5</v>
      </c>
      <c r="E17" s="146">
        <f>ROUND(D17/SUM(D6:D67)*IF(C17="",50,50.0),3)</f>
        <v/>
      </c>
      <c r="F17" s="146">
        <f>ROUND(E17/C17*G68,3)</f>
        <v/>
      </c>
      <c r="G17" s="144" t="inlineStr">
        <is>
          <t>有参转录组（RNA-seq）</t>
        </is>
      </c>
      <c r="H17" s="144" t="inlineStr">
        <is>
          <t>广州奥智生物科技有限公司</t>
        </is>
      </c>
      <c r="I17" s="146" t="n"/>
      <c r="J17" s="144" t="n"/>
      <c r="K17" s="144" t="inlineStr">
        <is>
          <t>26.7.28-1_D10</t>
        </is>
      </c>
      <c r="L17" s="147" t="n"/>
      <c r="M17" s="147" t="n"/>
      <c r="N17" s="147" t="n">
        <v>75.078</v>
      </c>
      <c r="O17" s="147" t="inlineStr">
        <is>
          <t>Illumina Truseq文库</t>
        </is>
      </c>
      <c r="P17" s="147" t="inlineStr">
        <is>
          <t>未磷酸化</t>
        </is>
      </c>
      <c r="Q17" s="147" t="inlineStr">
        <is>
          <t>未环化</t>
        </is>
      </c>
      <c r="R17" s="147" t="inlineStr">
        <is>
          <t>A</t>
        </is>
      </c>
      <c r="S17" s="147" t="n"/>
    </row>
    <row r="18" ht="30" customHeight="1" s="76">
      <c r="A18" s="152" t="n"/>
      <c r="B18" s="144" t="inlineStr">
        <is>
          <t>HGC-Lib-26097409</t>
        </is>
      </c>
      <c r="C18" s="144" t="n">
        <v>64.917</v>
      </c>
      <c r="D18" s="145" t="n">
        <v>5</v>
      </c>
      <c r="E18" s="146">
        <f>ROUND(D18/SUM(D6:D67)*IF(C18="",50,50.0),3)</f>
        <v/>
      </c>
      <c r="F18" s="146">
        <f>ROUND(E18/C18*G68,3)</f>
        <v/>
      </c>
      <c r="G18" s="144" t="inlineStr">
        <is>
          <t>有参转录组（RNA-seq）</t>
        </is>
      </c>
      <c r="H18" s="144" t="inlineStr">
        <is>
          <t>广州奥智生物科技有限公司</t>
        </is>
      </c>
      <c r="I18" s="146" t="n"/>
      <c r="J18" s="144" t="n"/>
      <c r="K18" s="144" t="inlineStr">
        <is>
          <t>26.7.28-1_D11</t>
        </is>
      </c>
      <c r="L18" s="147" t="n"/>
      <c r="M18" s="147" t="n"/>
      <c r="N18" s="147" t="n">
        <v>64.917</v>
      </c>
      <c r="O18" s="147" t="inlineStr">
        <is>
          <t>Illumina Truseq文库</t>
        </is>
      </c>
      <c r="P18" s="147" t="inlineStr">
        <is>
          <t>未磷酸化</t>
        </is>
      </c>
      <c r="Q18" s="147" t="inlineStr">
        <is>
          <t>未环化</t>
        </is>
      </c>
      <c r="R18" s="147" t="inlineStr">
        <is>
          <t>A</t>
        </is>
      </c>
      <c r="S18" s="147" t="n"/>
    </row>
    <row r="19" ht="30" customHeight="1" s="76">
      <c r="A19" s="152" t="n"/>
      <c r="B19" s="144" t="inlineStr">
        <is>
          <t>HGC-Lib-26097410</t>
        </is>
      </c>
      <c r="C19" s="144" t="n">
        <v>106.011</v>
      </c>
      <c r="D19" s="145" t="n">
        <v>5</v>
      </c>
      <c r="E19" s="146">
        <f>ROUND(D19/SUM(D6:D67)*IF(C19="",50,50.0),3)</f>
        <v/>
      </c>
      <c r="F19" s="146">
        <f>ROUND(E19/C19*G68,3)</f>
        <v/>
      </c>
      <c r="G19" s="144" t="inlineStr">
        <is>
          <t>有参转录组（RNA-seq）</t>
        </is>
      </c>
      <c r="H19" s="144" t="inlineStr">
        <is>
          <t>广州奥智生物科技有限公司</t>
        </is>
      </c>
      <c r="I19" s="146" t="n"/>
      <c r="J19" s="144" t="n"/>
      <c r="K19" s="144" t="inlineStr">
        <is>
          <t>26.7.28-1_D12</t>
        </is>
      </c>
      <c r="L19" s="147" t="n"/>
      <c r="M19" s="147" t="n"/>
      <c r="N19" s="147" t="n">
        <v>106.011</v>
      </c>
      <c r="O19" s="147" t="inlineStr">
        <is>
          <t>Illumina Truseq文库</t>
        </is>
      </c>
      <c r="P19" s="147" t="inlineStr">
        <is>
          <t>未磷酸化</t>
        </is>
      </c>
      <c r="Q19" s="147" t="inlineStr">
        <is>
          <t>未环化</t>
        </is>
      </c>
      <c r="R19" s="147" t="inlineStr">
        <is>
          <t>A</t>
        </is>
      </c>
      <c r="S19" s="147" t="n"/>
    </row>
    <row r="20" ht="30" customHeight="1" s="76">
      <c r="A20" s="152" t="n"/>
      <c r="B20" s="144" t="inlineStr">
        <is>
          <t>HGC-Lib-26097411</t>
        </is>
      </c>
      <c r="C20" s="144" t="n">
        <v>67.077</v>
      </c>
      <c r="D20" s="145" t="n">
        <v>5</v>
      </c>
      <c r="E20" s="146">
        <f>ROUND(D20/SUM(D6:D67)*IF(C20="",50,50.0),3)</f>
        <v/>
      </c>
      <c r="F20" s="146">
        <f>ROUND(E20/C20*G68,3)</f>
        <v/>
      </c>
      <c r="G20" s="144" t="inlineStr">
        <is>
          <t>有参转录组（RNA-seq）</t>
        </is>
      </c>
      <c r="H20" s="144" t="inlineStr">
        <is>
          <t>广州奥智生物科技有限公司</t>
        </is>
      </c>
      <c r="I20" s="146" t="n"/>
      <c r="J20" s="144" t="n"/>
      <c r="K20" s="144" t="inlineStr">
        <is>
          <t>26.7.28-1_E1</t>
        </is>
      </c>
      <c r="L20" s="147" t="n"/>
      <c r="M20" s="147" t="n"/>
      <c r="N20" s="147" t="n">
        <v>67.077</v>
      </c>
      <c r="O20" s="147" t="inlineStr">
        <is>
          <t>Illumina Truseq文库</t>
        </is>
      </c>
      <c r="P20" s="147" t="inlineStr">
        <is>
          <t>未磷酸化</t>
        </is>
      </c>
      <c r="Q20" s="147" t="inlineStr">
        <is>
          <t>未环化</t>
        </is>
      </c>
      <c r="R20" s="147" t="inlineStr">
        <is>
          <t>A</t>
        </is>
      </c>
      <c r="S20" s="147" t="n"/>
    </row>
    <row r="21" ht="30" customHeight="1" s="76">
      <c r="A21" s="152" t="n"/>
      <c r="B21" s="144" t="inlineStr">
        <is>
          <t>HGC-Lib-26097412</t>
        </is>
      </c>
      <c r="C21" s="144" t="n">
        <v>79.65900000000001</v>
      </c>
      <c r="D21" s="145" t="n">
        <v>5</v>
      </c>
      <c r="E21" s="146">
        <f>ROUND(D21/SUM(D6:D67)*IF(C21="",50,50.0),3)</f>
        <v/>
      </c>
      <c r="F21" s="146">
        <f>ROUND(E21/C21*G68,3)</f>
        <v/>
      </c>
      <c r="G21" s="144" t="inlineStr">
        <is>
          <t>有参转录组（RNA-seq）</t>
        </is>
      </c>
      <c r="H21" s="144" t="inlineStr">
        <is>
          <t>广州奥智生物科技有限公司</t>
        </is>
      </c>
      <c r="I21" s="146" t="n"/>
      <c r="J21" s="144" t="n"/>
      <c r="K21" s="144" t="inlineStr">
        <is>
          <t>26.7.28-1_E2</t>
        </is>
      </c>
      <c r="L21" s="147" t="n"/>
      <c r="M21" s="147" t="n"/>
      <c r="N21" s="147" t="n">
        <v>79.65900000000001</v>
      </c>
      <c r="O21" s="147" t="inlineStr">
        <is>
          <t>Illumina Truseq文库</t>
        </is>
      </c>
      <c r="P21" s="147" t="inlineStr">
        <is>
          <t>未磷酸化</t>
        </is>
      </c>
      <c r="Q21" s="147" t="inlineStr">
        <is>
          <t>未环化</t>
        </is>
      </c>
      <c r="R21" s="147" t="inlineStr">
        <is>
          <t>A</t>
        </is>
      </c>
      <c r="S21" s="147" t="n"/>
    </row>
    <row r="22" ht="30" customHeight="1" s="76">
      <c r="A22" s="152" t="n"/>
      <c r="B22" s="144" t="inlineStr">
        <is>
          <t>HGC-Lib-26097413</t>
        </is>
      </c>
      <c r="C22" s="144" t="n">
        <v>83.997</v>
      </c>
      <c r="D22" s="145" t="n">
        <v>5</v>
      </c>
      <c r="E22" s="146">
        <f>ROUND(D22/SUM(D6:D67)*IF(C22="",50,50.0),3)</f>
        <v/>
      </c>
      <c r="F22" s="146">
        <f>ROUND(E22/C22*G68,3)</f>
        <v/>
      </c>
      <c r="G22" s="144" t="inlineStr">
        <is>
          <t>有参转录组（RNA-seq）</t>
        </is>
      </c>
      <c r="H22" s="144" t="inlineStr">
        <is>
          <t>广州奥智生物科技有限公司</t>
        </is>
      </c>
      <c r="I22" s="146" t="n"/>
      <c r="J22" s="144" t="n"/>
      <c r="K22" s="144" t="inlineStr">
        <is>
          <t>26.7.28-1_E3</t>
        </is>
      </c>
      <c r="L22" s="147" t="n"/>
      <c r="M22" s="147" t="n"/>
      <c r="N22" s="147" t="n">
        <v>83.997</v>
      </c>
      <c r="O22" s="147" t="inlineStr">
        <is>
          <t>Illumina Truseq文库</t>
        </is>
      </c>
      <c r="P22" s="147" t="inlineStr">
        <is>
          <t>未磷酸化</t>
        </is>
      </c>
      <c r="Q22" s="147" t="inlineStr">
        <is>
          <t>未环化</t>
        </is>
      </c>
      <c r="R22" s="147" t="inlineStr">
        <is>
          <t>A</t>
        </is>
      </c>
      <c r="S22" s="147" t="n"/>
    </row>
    <row r="23" ht="30" customHeight="1" s="76">
      <c r="A23" s="152" t="n"/>
      <c r="B23" s="144" t="inlineStr">
        <is>
          <t>HGC-Lib-26097414</t>
        </is>
      </c>
      <c r="C23" s="144" t="n">
        <v>67.05</v>
      </c>
      <c r="D23" s="145" t="n">
        <v>5</v>
      </c>
      <c r="E23" s="146">
        <f>ROUND(D23/SUM(D6:D67)*IF(C23="",50,50.0),3)</f>
        <v/>
      </c>
      <c r="F23" s="146">
        <f>ROUND(E23/C23*G68,3)</f>
        <v/>
      </c>
      <c r="G23" s="144" t="inlineStr">
        <is>
          <t>有参转录组（RNA-seq）</t>
        </is>
      </c>
      <c r="H23" s="144" t="inlineStr">
        <is>
          <t>广州奥智生物科技有限公司</t>
        </is>
      </c>
      <c r="I23" s="146" t="n"/>
      <c r="J23" s="144" t="n"/>
      <c r="K23" s="144" t="inlineStr">
        <is>
          <t>26.7.28-1_E4</t>
        </is>
      </c>
      <c r="L23" s="147" t="n"/>
      <c r="M23" s="147" t="n"/>
      <c r="N23" s="147" t="n">
        <v>67.05</v>
      </c>
      <c r="O23" s="147" t="inlineStr">
        <is>
          <t>Illumina Truseq文库</t>
        </is>
      </c>
      <c r="P23" s="147" t="inlineStr">
        <is>
          <t>未磷酸化</t>
        </is>
      </c>
      <c r="Q23" s="147" t="inlineStr">
        <is>
          <t>未环化</t>
        </is>
      </c>
      <c r="R23" s="147" t="inlineStr">
        <is>
          <t>A</t>
        </is>
      </c>
      <c r="S23" s="147" t="n"/>
    </row>
    <row r="24" ht="30" customHeight="1" s="76">
      <c r="A24" s="152" t="n"/>
      <c r="B24" s="144" t="inlineStr">
        <is>
          <t>HGC-Lib-26097415</t>
        </is>
      </c>
      <c r="C24" s="144" t="n">
        <v>81.53100000000001</v>
      </c>
      <c r="D24" s="145" t="n">
        <v>5</v>
      </c>
      <c r="E24" s="146">
        <f>ROUND(D24/SUM(D6:D67)*IF(C24="",50,50.0),3)</f>
        <v/>
      </c>
      <c r="F24" s="146">
        <f>ROUND(E24/C24*G68,3)</f>
        <v/>
      </c>
      <c r="G24" s="144" t="inlineStr">
        <is>
          <t>有参转录组（RNA-seq）</t>
        </is>
      </c>
      <c r="H24" s="144" t="inlineStr">
        <is>
          <t>广州奥智生物科技有限公司</t>
        </is>
      </c>
      <c r="I24" s="146" t="n"/>
      <c r="J24" s="144" t="n"/>
      <c r="K24" s="144" t="inlineStr">
        <is>
          <t>26.7.28-1_E5</t>
        </is>
      </c>
      <c r="L24" s="147" t="n"/>
      <c r="M24" s="147" t="n"/>
      <c r="N24" s="147" t="n">
        <v>81.53100000000001</v>
      </c>
      <c r="O24" s="147" t="inlineStr">
        <is>
          <t>Illumina Truseq文库</t>
        </is>
      </c>
      <c r="P24" s="147" t="inlineStr">
        <is>
          <t>未磷酸化</t>
        </is>
      </c>
      <c r="Q24" s="147" t="inlineStr">
        <is>
          <t>未环化</t>
        </is>
      </c>
      <c r="R24" s="147" t="inlineStr">
        <is>
          <t>A</t>
        </is>
      </c>
      <c r="S24" s="147" t="n"/>
    </row>
    <row r="25" ht="30" customHeight="1" s="76">
      <c r="A25" s="152" t="n"/>
      <c r="B25" s="144" t="inlineStr">
        <is>
          <t>HGC-Lib-26097416</t>
        </is>
      </c>
      <c r="C25" s="144" t="n">
        <v>77.81399999999999</v>
      </c>
      <c r="D25" s="145" t="n">
        <v>5</v>
      </c>
      <c r="E25" s="146">
        <f>ROUND(D25/SUM(D6:D67)*IF(C25="",50,50.0),3)</f>
        <v/>
      </c>
      <c r="F25" s="146">
        <f>ROUND(E25/C25*G68,3)</f>
        <v/>
      </c>
      <c r="G25" s="144" t="inlineStr">
        <is>
          <t>有参转录组（RNA-seq）</t>
        </is>
      </c>
      <c r="H25" s="144" t="inlineStr">
        <is>
          <t>广州奥智生物科技有限公司</t>
        </is>
      </c>
      <c r="I25" s="146" t="n"/>
      <c r="J25" s="144" t="n"/>
      <c r="K25" s="144" t="inlineStr">
        <is>
          <t>26.7.28-1_E6</t>
        </is>
      </c>
      <c r="L25" s="147" t="n"/>
      <c r="M25" s="147" t="n"/>
      <c r="N25" s="147" t="n">
        <v>77.81399999999999</v>
      </c>
      <c r="O25" s="147" t="inlineStr">
        <is>
          <t>Illumina Truseq文库</t>
        </is>
      </c>
      <c r="P25" s="147" t="inlineStr">
        <is>
          <t>未磷酸化</t>
        </is>
      </c>
      <c r="Q25" s="147" t="inlineStr">
        <is>
          <t>未环化</t>
        </is>
      </c>
      <c r="R25" s="147" t="inlineStr">
        <is>
          <t>A</t>
        </is>
      </c>
      <c r="S25" s="147" t="n"/>
    </row>
    <row r="26" ht="30" customHeight="1" s="76">
      <c r="A26" s="152" t="n"/>
      <c r="B26" s="144" t="inlineStr">
        <is>
          <t>HGC-Lib-26097417</t>
        </is>
      </c>
      <c r="C26" s="144" t="n">
        <v>79.533</v>
      </c>
      <c r="D26" s="145" t="n">
        <v>5</v>
      </c>
      <c r="E26" s="146">
        <f>ROUND(D26/SUM(D6:D67)*IF(C26="",50,50.0),3)</f>
        <v/>
      </c>
      <c r="F26" s="146">
        <f>ROUND(E26/C26*G68,3)</f>
        <v/>
      </c>
      <c r="G26" s="144" t="inlineStr">
        <is>
          <t>有参转录组（RNA-seq）</t>
        </is>
      </c>
      <c r="H26" s="144" t="inlineStr">
        <is>
          <t>广州奥智生物科技有限公司</t>
        </is>
      </c>
      <c r="I26" s="146" t="n"/>
      <c r="J26" s="144" t="n"/>
      <c r="K26" s="144" t="inlineStr">
        <is>
          <t>26.7.28-1_E7</t>
        </is>
      </c>
      <c r="L26" s="147" t="n"/>
      <c r="M26" s="147" t="n"/>
      <c r="N26" s="147" t="n">
        <v>79.533</v>
      </c>
      <c r="O26" s="147" t="inlineStr">
        <is>
          <t>Illumina Truseq文库</t>
        </is>
      </c>
      <c r="P26" s="147" t="inlineStr">
        <is>
          <t>未磷酸化</t>
        </is>
      </c>
      <c r="Q26" s="147" t="inlineStr">
        <is>
          <t>未环化</t>
        </is>
      </c>
      <c r="R26" s="147" t="inlineStr">
        <is>
          <t>A</t>
        </is>
      </c>
      <c r="S26" s="147" t="n"/>
    </row>
    <row r="27" ht="30" customHeight="1" s="76">
      <c r="A27" s="152" t="n"/>
      <c r="B27" s="144" t="inlineStr">
        <is>
          <t>HGC-Lib-26097418</t>
        </is>
      </c>
      <c r="C27" s="144" t="n">
        <v>79.911</v>
      </c>
      <c r="D27" s="145" t="n">
        <v>5</v>
      </c>
      <c r="E27" s="146">
        <f>ROUND(D27/SUM(D6:D67)*IF(C27="",50,50.0),3)</f>
        <v/>
      </c>
      <c r="F27" s="146">
        <f>ROUND(E27/C27*G68,3)</f>
        <v/>
      </c>
      <c r="G27" s="144" t="inlineStr">
        <is>
          <t>有参转录组（RNA-seq）</t>
        </is>
      </c>
      <c r="H27" s="144" t="inlineStr">
        <is>
          <t>广州奥智生物科技有限公司</t>
        </is>
      </c>
      <c r="I27" s="146" t="n"/>
      <c r="J27" s="144" t="n"/>
      <c r="K27" s="144" t="inlineStr">
        <is>
          <t>26.7.28-1_E8</t>
        </is>
      </c>
      <c r="L27" s="147" t="n"/>
      <c r="M27" s="147" t="n"/>
      <c r="N27" s="147" t="n">
        <v>79.911</v>
      </c>
      <c r="O27" s="147" t="inlineStr">
        <is>
          <t>Illumina Truseq文库</t>
        </is>
      </c>
      <c r="P27" s="147" t="inlineStr">
        <is>
          <t>未磷酸化</t>
        </is>
      </c>
      <c r="Q27" s="147" t="inlineStr">
        <is>
          <t>未环化</t>
        </is>
      </c>
      <c r="R27" s="147" t="inlineStr">
        <is>
          <t>A</t>
        </is>
      </c>
      <c r="S27" s="147" t="n"/>
    </row>
    <row r="28" ht="30" customHeight="1" s="76">
      <c r="A28" s="152" t="n"/>
      <c r="B28" s="144" t="inlineStr">
        <is>
          <t>HGC-Lib-26097419</t>
        </is>
      </c>
      <c r="C28" s="144" t="n">
        <v>32.94</v>
      </c>
      <c r="D28" s="145" t="n">
        <v>5</v>
      </c>
      <c r="E28" s="146">
        <f>ROUND(D28/SUM(D6:D67)*IF(C28="",50,50.0),3)</f>
        <v/>
      </c>
      <c r="F28" s="146">
        <f>ROUND(E28/C28*G68,3)</f>
        <v/>
      </c>
      <c r="G28" s="144" t="inlineStr">
        <is>
          <t>有参转录组（RNA-seq）</t>
        </is>
      </c>
      <c r="H28" s="144" t="inlineStr">
        <is>
          <t>广州奥智生物科技有限公司</t>
        </is>
      </c>
      <c r="I28" s="146" t="n"/>
      <c r="J28" s="144" t="n"/>
      <c r="K28" s="144" t="inlineStr">
        <is>
          <t>26.7.28-1_E9</t>
        </is>
      </c>
      <c r="L28" s="147" t="n"/>
      <c r="M28" s="147" t="n"/>
      <c r="N28" s="147" t="n">
        <v>32.94</v>
      </c>
      <c r="O28" s="147" t="inlineStr">
        <is>
          <t>Illumina Truseq文库</t>
        </is>
      </c>
      <c r="P28" s="147" t="inlineStr">
        <is>
          <t>未磷酸化</t>
        </is>
      </c>
      <c r="Q28" s="147" t="inlineStr">
        <is>
          <t>未环化</t>
        </is>
      </c>
      <c r="R28" s="147" t="inlineStr">
        <is>
          <t>A</t>
        </is>
      </c>
      <c r="S28" s="147" t="n"/>
    </row>
    <row r="29" ht="30" customHeight="1" s="76">
      <c r="A29" s="152" t="n"/>
      <c r="B29" s="144" t="inlineStr">
        <is>
          <t>HGC-Lib-26097420</t>
        </is>
      </c>
      <c r="C29" s="144" t="n">
        <v>30.24</v>
      </c>
      <c r="D29" s="145" t="n">
        <v>5</v>
      </c>
      <c r="E29" s="146">
        <f>ROUND(D29/SUM(D6:D67)*IF(C29="",50,50.0),3)</f>
        <v/>
      </c>
      <c r="F29" s="146">
        <f>ROUND(E29/C29*G68,3)</f>
        <v/>
      </c>
      <c r="G29" s="144" t="inlineStr">
        <is>
          <t>有参转录组（RNA-seq）</t>
        </is>
      </c>
      <c r="H29" s="144" t="inlineStr">
        <is>
          <t>广州奥智生物科技有限公司</t>
        </is>
      </c>
      <c r="I29" s="146" t="n"/>
      <c r="J29" s="144" t="n"/>
      <c r="K29" s="144" t="inlineStr">
        <is>
          <t>26.7.28-1_E10</t>
        </is>
      </c>
      <c r="L29" s="147" t="n"/>
      <c r="M29" s="147" t="n"/>
      <c r="N29" s="147" t="n">
        <v>30.24</v>
      </c>
      <c r="O29" s="147" t="inlineStr">
        <is>
          <t>Illumina Truseq文库</t>
        </is>
      </c>
      <c r="P29" s="147" t="inlineStr">
        <is>
          <t>未磷酸化</t>
        </is>
      </c>
      <c r="Q29" s="147" t="inlineStr">
        <is>
          <t>未环化</t>
        </is>
      </c>
      <c r="R29" s="147" t="inlineStr">
        <is>
          <t>A</t>
        </is>
      </c>
      <c r="S29" s="147" t="n"/>
    </row>
    <row r="30" ht="30" customHeight="1" s="76">
      <c r="A30" s="152" t="n"/>
      <c r="B30" s="144" t="inlineStr">
        <is>
          <t>HGC-Lib-26097421</t>
        </is>
      </c>
      <c r="C30" s="144" t="n">
        <v>30.42</v>
      </c>
      <c r="D30" s="145" t="n">
        <v>5</v>
      </c>
      <c r="E30" s="146">
        <f>ROUND(D30/SUM(D6:D67)*IF(C30="",50,50.0),3)</f>
        <v/>
      </c>
      <c r="F30" s="146">
        <f>ROUND(E30/C30*G68,3)</f>
        <v/>
      </c>
      <c r="G30" s="144" t="inlineStr">
        <is>
          <t>有参转录组（RNA-seq）</t>
        </is>
      </c>
      <c r="H30" s="144" t="inlineStr">
        <is>
          <t>广州奥智生物科技有限公司</t>
        </is>
      </c>
      <c r="I30" s="146" t="n"/>
      <c r="J30" s="144" t="n"/>
      <c r="K30" s="144" t="inlineStr">
        <is>
          <t>26.7.28-1_E11</t>
        </is>
      </c>
      <c r="L30" s="147" t="n"/>
      <c r="M30" s="147" t="n"/>
      <c r="N30" s="147" t="n">
        <v>30.42</v>
      </c>
      <c r="O30" s="147" t="inlineStr">
        <is>
          <t>Illumina Truseq文库</t>
        </is>
      </c>
      <c r="P30" s="147" t="inlineStr">
        <is>
          <t>未磷酸化</t>
        </is>
      </c>
      <c r="Q30" s="147" t="inlineStr">
        <is>
          <t>未环化</t>
        </is>
      </c>
      <c r="R30" s="147" t="inlineStr">
        <is>
          <t>A</t>
        </is>
      </c>
      <c r="S30" s="147" t="n"/>
    </row>
    <row r="31" ht="30" customHeight="1" s="76">
      <c r="A31" s="152" t="n"/>
      <c r="B31" s="144" t="inlineStr">
        <is>
          <t>HGC-Lib-26097422</t>
        </is>
      </c>
      <c r="C31" s="144" t="n">
        <v>64.8</v>
      </c>
      <c r="D31" s="145" t="n">
        <v>5</v>
      </c>
      <c r="E31" s="146">
        <f>ROUND(D31/SUM(D6:D67)*IF(C31="",50,50.0),3)</f>
        <v/>
      </c>
      <c r="F31" s="146">
        <f>ROUND(E31/C31*G68,3)</f>
        <v/>
      </c>
      <c r="G31" s="144" t="inlineStr">
        <is>
          <t>有参转录组（RNA-seq）</t>
        </is>
      </c>
      <c r="H31" s="144" t="inlineStr">
        <is>
          <t>广州奥智生物科技有限公司</t>
        </is>
      </c>
      <c r="I31" s="146" t="n"/>
      <c r="J31" s="144" t="n"/>
      <c r="K31" s="144" t="inlineStr">
        <is>
          <t>26.7.28-1_E12</t>
        </is>
      </c>
      <c r="L31" s="147" t="n"/>
      <c r="M31" s="147" t="n"/>
      <c r="N31" s="147" t="n">
        <v>64.8</v>
      </c>
      <c r="O31" s="147" t="inlineStr">
        <is>
          <t>Illumina Truseq文库</t>
        </is>
      </c>
      <c r="P31" s="147" t="inlineStr">
        <is>
          <t>未磷酸化</t>
        </is>
      </c>
      <c r="Q31" s="147" t="inlineStr">
        <is>
          <t>未环化</t>
        </is>
      </c>
      <c r="R31" s="147" t="inlineStr">
        <is>
          <t>A</t>
        </is>
      </c>
      <c r="S31" s="147" t="n"/>
    </row>
    <row r="32" ht="30" customHeight="1" s="76">
      <c r="A32" s="152" t="n"/>
      <c r="B32" s="144" t="inlineStr">
        <is>
          <t>HGC-Lib-26097423</t>
        </is>
      </c>
      <c r="C32" s="144" t="n">
        <v>46.197</v>
      </c>
      <c r="D32" s="145" t="n">
        <v>5</v>
      </c>
      <c r="E32" s="146">
        <f>ROUND(D32/SUM(D6:D67)*IF(C32="",50,50.0),3)</f>
        <v/>
      </c>
      <c r="F32" s="146">
        <f>ROUND(E32/C32*G68,3)</f>
        <v/>
      </c>
      <c r="G32" s="144" t="inlineStr">
        <is>
          <t>有参转录组（RNA-seq）</t>
        </is>
      </c>
      <c r="H32" s="144" t="inlineStr">
        <is>
          <t>广州奥智生物科技有限公司</t>
        </is>
      </c>
      <c r="I32" s="146" t="n"/>
      <c r="J32" s="144" t="n"/>
      <c r="K32" s="144" t="inlineStr">
        <is>
          <t>26.7.28-1_F1</t>
        </is>
      </c>
      <c r="L32" s="147" t="n"/>
      <c r="M32" s="147" t="n"/>
      <c r="N32" s="147" t="n">
        <v>46.197</v>
      </c>
      <c r="O32" s="147" t="inlineStr">
        <is>
          <t>Illumina Truseq文库</t>
        </is>
      </c>
      <c r="P32" s="147" t="inlineStr">
        <is>
          <t>未磷酸化</t>
        </is>
      </c>
      <c r="Q32" s="147" t="inlineStr">
        <is>
          <t>未环化</t>
        </is>
      </c>
      <c r="R32" s="147" t="inlineStr">
        <is>
          <t>A</t>
        </is>
      </c>
      <c r="S32" s="147" t="n"/>
    </row>
    <row r="33" ht="30" customHeight="1" s="76">
      <c r="A33" s="152" t="n"/>
      <c r="B33" s="144" t="inlineStr">
        <is>
          <t>HGC-Lib-26097424</t>
        </is>
      </c>
      <c r="C33" s="144" t="n">
        <v>45.414</v>
      </c>
      <c r="D33" s="145" t="n">
        <v>5</v>
      </c>
      <c r="E33" s="146">
        <f>ROUND(D33/SUM(D6:D67)*IF(C33="",50,50.0),3)</f>
        <v/>
      </c>
      <c r="F33" s="146">
        <f>ROUND(E33/C33*G68,3)</f>
        <v/>
      </c>
      <c r="G33" s="144" t="inlineStr">
        <is>
          <t>有参转录组（RNA-seq）</t>
        </is>
      </c>
      <c r="H33" s="144" t="inlineStr">
        <is>
          <t>广州奥智生物科技有限公司</t>
        </is>
      </c>
      <c r="I33" s="146" t="n"/>
      <c r="J33" s="144" t="n"/>
      <c r="K33" s="144" t="inlineStr">
        <is>
          <t>26.7.28-1_F2</t>
        </is>
      </c>
      <c r="L33" s="147" t="n"/>
      <c r="M33" s="147" t="n"/>
      <c r="N33" s="147" t="n">
        <v>45.414</v>
      </c>
      <c r="O33" s="147" t="inlineStr">
        <is>
          <t>Illumina Truseq文库</t>
        </is>
      </c>
      <c r="P33" s="147" t="inlineStr">
        <is>
          <t>未磷酸化</t>
        </is>
      </c>
      <c r="Q33" s="147" t="inlineStr">
        <is>
          <t>未环化</t>
        </is>
      </c>
      <c r="R33" s="147" t="inlineStr">
        <is>
          <t>A</t>
        </is>
      </c>
      <c r="S33" s="147" t="n"/>
    </row>
    <row r="34" ht="30" customHeight="1" s="76">
      <c r="A34" s="152" t="n"/>
      <c r="B34" s="144" t="inlineStr">
        <is>
          <t>HGC-Lib-26097425</t>
        </is>
      </c>
      <c r="C34" s="144" t="n">
        <v>66.87</v>
      </c>
      <c r="D34" s="145" t="n">
        <v>5</v>
      </c>
      <c r="E34" s="146">
        <f>ROUND(D34/SUM(D6:D67)*IF(C34="",50,50.0),3)</f>
        <v/>
      </c>
      <c r="F34" s="146">
        <f>ROUND(E34/C34*G68,3)</f>
        <v/>
      </c>
      <c r="G34" s="144" t="inlineStr">
        <is>
          <t>有参转录组（RNA-seq）</t>
        </is>
      </c>
      <c r="H34" s="144" t="inlineStr">
        <is>
          <t>广州奥智生物科技有限公司</t>
        </is>
      </c>
      <c r="I34" s="146" t="n"/>
      <c r="J34" s="144" t="n"/>
      <c r="K34" s="144" t="inlineStr">
        <is>
          <t>26.7.28-1_F3</t>
        </is>
      </c>
      <c r="L34" s="147" t="n"/>
      <c r="M34" s="147" t="n"/>
      <c r="N34" s="147" t="n">
        <v>66.87</v>
      </c>
      <c r="O34" s="147" t="inlineStr">
        <is>
          <t>Illumina Truseq文库</t>
        </is>
      </c>
      <c r="P34" s="147" t="inlineStr">
        <is>
          <t>未磷酸化</t>
        </is>
      </c>
      <c r="Q34" s="147" t="inlineStr">
        <is>
          <t>未环化</t>
        </is>
      </c>
      <c r="R34" s="147" t="inlineStr">
        <is>
          <t>A</t>
        </is>
      </c>
      <c r="S34" s="147" t="n"/>
    </row>
    <row r="35" ht="30" customHeight="1" s="76">
      <c r="A35" s="152" t="n"/>
      <c r="B35" s="144" t="inlineStr">
        <is>
          <t>HGC-Lib-26097426</t>
        </is>
      </c>
      <c r="C35" s="144" t="n">
        <v>60.498</v>
      </c>
      <c r="D35" s="145" t="n">
        <v>5</v>
      </c>
      <c r="E35" s="146">
        <f>ROUND(D35/SUM(D6:D67)*IF(C35="",50,50.0),3)</f>
        <v/>
      </c>
      <c r="F35" s="146">
        <f>ROUND(E35/C35*G68,3)</f>
        <v/>
      </c>
      <c r="G35" s="144" t="inlineStr">
        <is>
          <t>有参转录组（RNA-seq）</t>
        </is>
      </c>
      <c r="H35" s="144" t="inlineStr">
        <is>
          <t>广州奥智生物科技有限公司</t>
        </is>
      </c>
      <c r="I35" s="146" t="n"/>
      <c r="J35" s="144" t="n"/>
      <c r="K35" s="144" t="inlineStr">
        <is>
          <t>26.7.28-1_F4</t>
        </is>
      </c>
      <c r="L35" s="147" t="n"/>
      <c r="M35" s="147" t="n"/>
      <c r="N35" s="147" t="n">
        <v>60.498</v>
      </c>
      <c r="O35" s="147" t="inlineStr">
        <is>
          <t>Illumina Truseq文库</t>
        </is>
      </c>
      <c r="P35" s="147" t="inlineStr">
        <is>
          <t>未磷酸化</t>
        </is>
      </c>
      <c r="Q35" s="147" t="inlineStr">
        <is>
          <t>未环化</t>
        </is>
      </c>
      <c r="R35" s="147" t="inlineStr">
        <is>
          <t>A</t>
        </is>
      </c>
      <c r="S35" s="147" t="n"/>
    </row>
    <row r="36" ht="30" customHeight="1" s="76">
      <c r="A36" s="152" t="n"/>
      <c r="B36" s="144" t="inlineStr">
        <is>
          <t>HGC-Lib-26097427</t>
        </is>
      </c>
      <c r="C36" s="144" t="n">
        <v>56.034</v>
      </c>
      <c r="D36" s="145" t="n">
        <v>5</v>
      </c>
      <c r="E36" s="146">
        <f>ROUND(D36/SUM(D6:D67)*IF(C36="",50,50.0),3)</f>
        <v/>
      </c>
      <c r="F36" s="146">
        <f>ROUND(E36/C36*G68,3)</f>
        <v/>
      </c>
      <c r="G36" s="144" t="inlineStr">
        <is>
          <t>有参转录组（RNA-seq）</t>
        </is>
      </c>
      <c r="H36" s="144" t="inlineStr">
        <is>
          <t>广州奥智生物科技有限公司</t>
        </is>
      </c>
      <c r="I36" s="146" t="n"/>
      <c r="J36" s="144" t="n"/>
      <c r="K36" s="144" t="inlineStr">
        <is>
          <t>26.7.28-1_F5</t>
        </is>
      </c>
      <c r="L36" s="147" t="n"/>
      <c r="M36" s="147" t="n"/>
      <c r="N36" s="147" t="n">
        <v>56.034</v>
      </c>
      <c r="O36" s="147" t="inlineStr">
        <is>
          <t>Illumina Truseq文库</t>
        </is>
      </c>
      <c r="P36" s="147" t="inlineStr">
        <is>
          <t>未磷酸化</t>
        </is>
      </c>
      <c r="Q36" s="147" t="inlineStr">
        <is>
          <t>未环化</t>
        </is>
      </c>
      <c r="R36" s="147" t="inlineStr">
        <is>
          <t>A</t>
        </is>
      </c>
      <c r="S36" s="147" t="n"/>
    </row>
    <row r="37" ht="30" customHeight="1" s="76">
      <c r="A37" s="152" t="n"/>
      <c r="B37" s="144" t="inlineStr">
        <is>
          <t>HGC-Lib-26097428</t>
        </is>
      </c>
      <c r="C37" s="144" t="n">
        <v>61.569</v>
      </c>
      <c r="D37" s="145" t="n">
        <v>5</v>
      </c>
      <c r="E37" s="146">
        <f>ROUND(D37/SUM(D6:D67)*IF(C37="",50,50.0),3)</f>
        <v/>
      </c>
      <c r="F37" s="146">
        <f>ROUND(E37/C37*G68,3)</f>
        <v/>
      </c>
      <c r="G37" s="144" t="inlineStr">
        <is>
          <t>有参转录组（RNA-seq）</t>
        </is>
      </c>
      <c r="H37" s="144" t="inlineStr">
        <is>
          <t>广州奥智生物科技有限公司</t>
        </is>
      </c>
      <c r="I37" s="146" t="n"/>
      <c r="J37" s="144" t="n"/>
      <c r="K37" s="144" t="inlineStr">
        <is>
          <t>26.7.28-1_F6</t>
        </is>
      </c>
      <c r="L37" s="147" t="n"/>
      <c r="M37" s="147" t="n"/>
      <c r="N37" s="147" t="n">
        <v>61.569</v>
      </c>
      <c r="O37" s="147" t="inlineStr">
        <is>
          <t>Illumina Truseq文库</t>
        </is>
      </c>
      <c r="P37" s="147" t="inlineStr">
        <is>
          <t>未磷酸化</t>
        </is>
      </c>
      <c r="Q37" s="147" t="inlineStr">
        <is>
          <t>未环化</t>
        </is>
      </c>
      <c r="R37" s="147" t="inlineStr">
        <is>
          <t>A</t>
        </is>
      </c>
      <c r="S37" s="147" t="n"/>
    </row>
    <row r="38" ht="30" customHeight="1" s="76">
      <c r="A38" s="152" t="n"/>
      <c r="B38" s="144" t="inlineStr">
        <is>
          <t>HGC-Lib-26097429</t>
        </is>
      </c>
      <c r="C38" s="144" t="n">
        <v>39.069</v>
      </c>
      <c r="D38" s="145" t="n">
        <v>5</v>
      </c>
      <c r="E38" s="146">
        <f>ROUND(D38/SUM(D6:D67)*IF(C38="",50,50.0),3)</f>
        <v/>
      </c>
      <c r="F38" s="146">
        <f>ROUND(E38/C38*G68,3)</f>
        <v/>
      </c>
      <c r="G38" s="144" t="inlineStr">
        <is>
          <t>有参转录组（RNA-seq）</t>
        </is>
      </c>
      <c r="H38" s="144" t="inlineStr">
        <is>
          <t>广州奥智生物科技有限公司</t>
        </is>
      </c>
      <c r="I38" s="146" t="n"/>
      <c r="J38" s="144" t="n"/>
      <c r="K38" s="144" t="inlineStr">
        <is>
          <t>26.7.28-1_F7</t>
        </is>
      </c>
      <c r="L38" s="147" t="n"/>
      <c r="M38" s="147" t="n"/>
      <c r="N38" s="147" t="n">
        <v>39.069</v>
      </c>
      <c r="O38" s="147" t="inlineStr">
        <is>
          <t>Illumina Truseq文库</t>
        </is>
      </c>
      <c r="P38" s="147" t="inlineStr">
        <is>
          <t>未磷酸化</t>
        </is>
      </c>
      <c r="Q38" s="147" t="inlineStr">
        <is>
          <t>未环化</t>
        </is>
      </c>
      <c r="R38" s="147" t="inlineStr">
        <is>
          <t>A</t>
        </is>
      </c>
      <c r="S38" s="147" t="n"/>
    </row>
    <row r="39" ht="30" customHeight="1" s="76">
      <c r="A39" s="152" t="n"/>
      <c r="B39" s="144" t="inlineStr">
        <is>
          <t>HGC-Lib-26097430</t>
        </is>
      </c>
      <c r="C39" s="144" t="n">
        <v>48.186</v>
      </c>
      <c r="D39" s="145" t="n">
        <v>5</v>
      </c>
      <c r="E39" s="146">
        <f>ROUND(D39/SUM(D6:D67)*IF(C39="",50,50.0),3)</f>
        <v/>
      </c>
      <c r="F39" s="146">
        <f>ROUND(E39/C39*G68,3)</f>
        <v/>
      </c>
      <c r="G39" s="144" t="inlineStr">
        <is>
          <t>有参转录组（RNA-seq）</t>
        </is>
      </c>
      <c r="H39" s="144" t="inlineStr">
        <is>
          <t>广州奥智生物科技有限公司</t>
        </is>
      </c>
      <c r="I39" s="146" t="n"/>
      <c r="J39" s="144" t="n"/>
      <c r="K39" s="144" t="inlineStr">
        <is>
          <t>26.7.28-1_F8</t>
        </is>
      </c>
      <c r="L39" s="147" t="n"/>
      <c r="M39" s="147" t="n"/>
      <c r="N39" s="147" t="n">
        <v>48.186</v>
      </c>
      <c r="O39" s="147" t="inlineStr">
        <is>
          <t>Illumina Truseq文库</t>
        </is>
      </c>
      <c r="P39" s="147" t="inlineStr">
        <is>
          <t>未磷酸化</t>
        </is>
      </c>
      <c r="Q39" s="147" t="inlineStr">
        <is>
          <t>未环化</t>
        </is>
      </c>
      <c r="R39" s="147" t="inlineStr">
        <is>
          <t>A</t>
        </is>
      </c>
      <c r="S39" s="147" t="n"/>
    </row>
    <row r="40" ht="30" customHeight="1" s="76">
      <c r="A40" s="152" t="n"/>
      <c r="B40" s="144" t="inlineStr">
        <is>
          <t>HGC-Lib-26097431</t>
        </is>
      </c>
      <c r="C40" s="144" t="n">
        <v>77.46299999999999</v>
      </c>
      <c r="D40" s="145" t="n">
        <v>5</v>
      </c>
      <c r="E40" s="146">
        <f>ROUND(D40/SUM(D6:D67)*IF(C40="",50,50.0),3)</f>
        <v/>
      </c>
      <c r="F40" s="146">
        <f>ROUND(E40/C40*G68,3)</f>
        <v/>
      </c>
      <c r="G40" s="144" t="inlineStr">
        <is>
          <t>有参转录组（RNA-seq）</t>
        </is>
      </c>
      <c r="H40" s="144" t="inlineStr">
        <is>
          <t>广州奥智生物科技有限公司</t>
        </is>
      </c>
      <c r="I40" s="146" t="n"/>
      <c r="J40" s="144" t="n"/>
      <c r="K40" s="144" t="inlineStr">
        <is>
          <t>26.7.28-1_F9</t>
        </is>
      </c>
      <c r="L40" s="147" t="n"/>
      <c r="M40" s="147" t="n"/>
      <c r="N40" s="147" t="n">
        <v>77.46299999999999</v>
      </c>
      <c r="O40" s="147" t="inlineStr">
        <is>
          <t>Illumina Truseq文库</t>
        </is>
      </c>
      <c r="P40" s="147" t="inlineStr">
        <is>
          <t>未磷酸化</t>
        </is>
      </c>
      <c r="Q40" s="147" t="inlineStr">
        <is>
          <t>未环化</t>
        </is>
      </c>
      <c r="R40" s="147" t="inlineStr">
        <is>
          <t>A</t>
        </is>
      </c>
      <c r="S40" s="147" t="n"/>
    </row>
    <row r="41" ht="30" customHeight="1" s="76">
      <c r="A41" s="152" t="n"/>
      <c r="B41" s="144" t="inlineStr">
        <is>
          <t>HGC-Lib-26097432</t>
        </is>
      </c>
      <c r="C41" s="144" t="n">
        <v>81.675</v>
      </c>
      <c r="D41" s="145" t="n">
        <v>5</v>
      </c>
      <c r="E41" s="146">
        <f>ROUND(D41/SUM(D6:D67)*IF(C41="",50,50.0),3)</f>
        <v/>
      </c>
      <c r="F41" s="146">
        <f>ROUND(E41/C41*G68,3)</f>
        <v/>
      </c>
      <c r="G41" s="144" t="inlineStr">
        <is>
          <t>有参转录组（RNA-seq）</t>
        </is>
      </c>
      <c r="H41" s="144" t="inlineStr">
        <is>
          <t>广州奥智生物科技有限公司</t>
        </is>
      </c>
      <c r="I41" s="146" t="n"/>
      <c r="J41" s="144" t="n"/>
      <c r="K41" s="144" t="inlineStr">
        <is>
          <t>26.7.28-1_F10</t>
        </is>
      </c>
      <c r="L41" s="147" t="n"/>
      <c r="M41" s="147" t="n"/>
      <c r="N41" s="147" t="n">
        <v>81.675</v>
      </c>
      <c r="O41" s="147" t="inlineStr">
        <is>
          <t>Illumina Truseq文库</t>
        </is>
      </c>
      <c r="P41" s="147" t="inlineStr">
        <is>
          <t>未磷酸化</t>
        </is>
      </c>
      <c r="Q41" s="147" t="inlineStr">
        <is>
          <t>未环化</t>
        </is>
      </c>
      <c r="R41" s="147" t="inlineStr">
        <is>
          <t>A</t>
        </is>
      </c>
      <c r="S41" s="147" t="n"/>
    </row>
    <row r="42" ht="30" customHeight="1" s="76">
      <c r="A42" s="152" t="n"/>
      <c r="B42" s="144" t="inlineStr">
        <is>
          <t>HGC-Lib-26097433</t>
        </is>
      </c>
      <c r="C42" s="144" t="n">
        <v>84.627</v>
      </c>
      <c r="D42" s="145" t="n">
        <v>5</v>
      </c>
      <c r="E42" s="146">
        <f>ROUND(D42/SUM(D6:D67)*IF(C42="",50,50.0),3)</f>
        <v/>
      </c>
      <c r="F42" s="146">
        <f>ROUND(E42/C42*G68,3)</f>
        <v/>
      </c>
      <c r="G42" s="144" t="inlineStr">
        <is>
          <t>有参转录组（RNA-seq）</t>
        </is>
      </c>
      <c r="H42" s="144" t="inlineStr">
        <is>
          <t>广州奥智生物科技有限公司</t>
        </is>
      </c>
      <c r="I42" s="146" t="n"/>
      <c r="J42" s="144" t="n"/>
      <c r="K42" s="144" t="inlineStr">
        <is>
          <t>26.7.28-1_F11</t>
        </is>
      </c>
      <c r="L42" s="147" t="n"/>
      <c r="M42" s="147" t="n"/>
      <c r="N42" s="147" t="n">
        <v>84.627</v>
      </c>
      <c r="O42" s="147" t="inlineStr">
        <is>
          <t>Illumina Truseq文库</t>
        </is>
      </c>
      <c r="P42" s="147" t="inlineStr">
        <is>
          <t>未磷酸化</t>
        </is>
      </c>
      <c r="Q42" s="147" t="inlineStr">
        <is>
          <t>未环化</t>
        </is>
      </c>
      <c r="R42" s="147" t="inlineStr">
        <is>
          <t>A</t>
        </is>
      </c>
      <c r="S42" s="147" t="n"/>
    </row>
    <row r="43" ht="30" customHeight="1" s="76">
      <c r="A43" s="152" t="n"/>
      <c r="B43" s="144" t="inlineStr">
        <is>
          <t>HGC-Lib-26097434</t>
        </is>
      </c>
      <c r="C43" s="144" t="n">
        <v>76.806</v>
      </c>
      <c r="D43" s="145" t="n">
        <v>5</v>
      </c>
      <c r="E43" s="146">
        <f>ROUND(D43/SUM(D6:D67)*IF(C43="",50,50.0),3)</f>
        <v/>
      </c>
      <c r="F43" s="146">
        <f>ROUND(E43/C43*G68,3)</f>
        <v/>
      </c>
      <c r="G43" s="144" t="inlineStr">
        <is>
          <t>有参转录组（RNA-seq）</t>
        </is>
      </c>
      <c r="H43" s="144" t="inlineStr">
        <is>
          <t>广州奥智生物科技有限公司</t>
        </is>
      </c>
      <c r="I43" s="146" t="n"/>
      <c r="J43" s="144" t="n"/>
      <c r="K43" s="144" t="inlineStr">
        <is>
          <t>26.7.28-1_F12</t>
        </is>
      </c>
      <c r="L43" s="147" t="n"/>
      <c r="M43" s="147" t="n"/>
      <c r="N43" s="147" t="n">
        <v>76.806</v>
      </c>
      <c r="O43" s="147" t="inlineStr">
        <is>
          <t>Illumina Truseq文库</t>
        </is>
      </c>
      <c r="P43" s="147" t="inlineStr">
        <is>
          <t>未磷酸化</t>
        </is>
      </c>
      <c r="Q43" s="147" t="inlineStr">
        <is>
          <t>未环化</t>
        </is>
      </c>
      <c r="R43" s="147" t="inlineStr">
        <is>
          <t>A</t>
        </is>
      </c>
      <c r="S43" s="147" t="n"/>
    </row>
    <row r="44" ht="30" customHeight="1" s="76">
      <c r="A44" s="152" t="n"/>
      <c r="B44" s="144" t="inlineStr">
        <is>
          <t>HGC-Lib-26097435</t>
        </is>
      </c>
      <c r="C44" s="144" t="n">
        <v>49.518</v>
      </c>
      <c r="D44" s="145" t="n">
        <v>5</v>
      </c>
      <c r="E44" s="146">
        <f>ROUND(D44/SUM(D6:D67)*IF(C44="",50,50.0),3)</f>
        <v/>
      </c>
      <c r="F44" s="146">
        <f>ROUND(E44/C44*G68,3)</f>
        <v/>
      </c>
      <c r="G44" s="144" t="inlineStr">
        <is>
          <t>有参转录组（RNA-seq）</t>
        </is>
      </c>
      <c r="H44" s="144" t="inlineStr">
        <is>
          <t>广州奥智生物科技有限公司</t>
        </is>
      </c>
      <c r="I44" s="146" t="n"/>
      <c r="J44" s="144" t="n"/>
      <c r="K44" s="144" t="inlineStr">
        <is>
          <t>26.7.28-1_G1</t>
        </is>
      </c>
      <c r="L44" s="147" t="n"/>
      <c r="M44" s="147" t="n"/>
      <c r="N44" s="147" t="n">
        <v>49.518</v>
      </c>
      <c r="O44" s="147" t="inlineStr">
        <is>
          <t>Illumina Truseq文库</t>
        </is>
      </c>
      <c r="P44" s="147" t="inlineStr">
        <is>
          <t>未磷酸化</t>
        </is>
      </c>
      <c r="Q44" s="147" t="inlineStr">
        <is>
          <t>未环化</t>
        </is>
      </c>
      <c r="R44" s="147" t="inlineStr">
        <is>
          <t>A</t>
        </is>
      </c>
      <c r="S44" s="147" t="n"/>
    </row>
    <row r="45" ht="30" customHeight="1" s="76">
      <c r="A45" s="152" t="n"/>
      <c r="B45" s="144" t="inlineStr">
        <is>
          <t>HGC-Lib-26097436</t>
        </is>
      </c>
      <c r="C45" s="144" t="n">
        <v>57.339</v>
      </c>
      <c r="D45" s="145" t="n">
        <v>5</v>
      </c>
      <c r="E45" s="146">
        <f>ROUND(D45/SUM(D6:D67)*IF(C45="",50,50.0),3)</f>
        <v/>
      </c>
      <c r="F45" s="146">
        <f>ROUND(E45/C45*G68,3)</f>
        <v/>
      </c>
      <c r="G45" s="144" t="inlineStr">
        <is>
          <t>有参转录组（RNA-seq）</t>
        </is>
      </c>
      <c r="H45" s="144" t="inlineStr">
        <is>
          <t>广州奥智生物科技有限公司</t>
        </is>
      </c>
      <c r="I45" s="146" t="n"/>
      <c r="J45" s="144" t="n"/>
      <c r="K45" s="144" t="inlineStr">
        <is>
          <t>26.7.28-1_G2</t>
        </is>
      </c>
      <c r="L45" s="147" t="n"/>
      <c r="M45" s="147" t="n"/>
      <c r="N45" s="147" t="n">
        <v>57.339</v>
      </c>
      <c r="O45" s="147" t="inlineStr">
        <is>
          <t>Illumina Truseq文库</t>
        </is>
      </c>
      <c r="P45" s="147" t="inlineStr">
        <is>
          <t>未磷酸化</t>
        </is>
      </c>
      <c r="Q45" s="147" t="inlineStr">
        <is>
          <t>未环化</t>
        </is>
      </c>
      <c r="R45" s="147" t="inlineStr">
        <is>
          <t>A</t>
        </is>
      </c>
      <c r="S45" s="147" t="n"/>
    </row>
    <row r="46" ht="30" customHeight="1" s="76">
      <c r="A46" s="152" t="n"/>
      <c r="B46" s="144" t="inlineStr">
        <is>
          <t>HGC-Lib-26097437</t>
        </is>
      </c>
      <c r="C46" s="144" t="n">
        <v>41.778</v>
      </c>
      <c r="D46" s="145" t="n">
        <v>5</v>
      </c>
      <c r="E46" s="146">
        <f>ROUND(D46/SUM(D6:D67)*IF(C46="",50,50.0),3)</f>
        <v/>
      </c>
      <c r="F46" s="146">
        <f>ROUND(E46/C46*G68,3)</f>
        <v/>
      </c>
      <c r="G46" s="144" t="inlineStr">
        <is>
          <t>有参转录组（RNA-seq）</t>
        </is>
      </c>
      <c r="H46" s="144" t="inlineStr">
        <is>
          <t>广州奥智生物科技有限公司</t>
        </is>
      </c>
      <c r="I46" s="146" t="n"/>
      <c r="J46" s="144" t="n"/>
      <c r="K46" s="144" t="inlineStr">
        <is>
          <t>26.7.28-1_G3</t>
        </is>
      </c>
      <c r="L46" s="147" t="n"/>
      <c r="M46" s="147" t="n"/>
      <c r="N46" s="147" t="n">
        <v>41.778</v>
      </c>
      <c r="O46" s="147" t="inlineStr">
        <is>
          <t>Illumina Truseq文库</t>
        </is>
      </c>
      <c r="P46" s="147" t="inlineStr">
        <is>
          <t>未磷酸化</t>
        </is>
      </c>
      <c r="Q46" s="147" t="inlineStr">
        <is>
          <t>未环化</t>
        </is>
      </c>
      <c r="R46" s="147" t="inlineStr">
        <is>
          <t>A</t>
        </is>
      </c>
      <c r="S46" s="147" t="n"/>
    </row>
    <row r="47" ht="30" customHeight="1" s="76">
      <c r="A47" s="152" t="n"/>
      <c r="B47" s="144" t="inlineStr">
        <is>
          <t>HGC-Lib-26097438</t>
        </is>
      </c>
      <c r="C47" s="144" t="n">
        <v>60.372</v>
      </c>
      <c r="D47" s="145" t="n">
        <v>5</v>
      </c>
      <c r="E47" s="146">
        <f>ROUND(D47/SUM(D6:D67)*IF(C47="",50,50.0),3)</f>
        <v/>
      </c>
      <c r="F47" s="146">
        <f>ROUND(E47/C47*G68,3)</f>
        <v/>
      </c>
      <c r="G47" s="144" t="inlineStr">
        <is>
          <t>有参转录组（RNA-seq）</t>
        </is>
      </c>
      <c r="H47" s="144" t="inlineStr">
        <is>
          <t>广州奥智生物科技有限公司</t>
        </is>
      </c>
      <c r="I47" s="146" t="n"/>
      <c r="J47" s="144" t="n"/>
      <c r="K47" s="144" t="inlineStr">
        <is>
          <t>26.7.28-1_G4</t>
        </is>
      </c>
      <c r="L47" s="147" t="n"/>
      <c r="M47" s="147" t="n"/>
      <c r="N47" s="147" t="n">
        <v>60.372</v>
      </c>
      <c r="O47" s="147" t="inlineStr">
        <is>
          <t>Illumina Truseq文库</t>
        </is>
      </c>
      <c r="P47" s="147" t="inlineStr">
        <is>
          <t>未磷酸化</t>
        </is>
      </c>
      <c r="Q47" s="147" t="inlineStr">
        <is>
          <t>未环化</t>
        </is>
      </c>
      <c r="R47" s="147" t="inlineStr">
        <is>
          <t>A</t>
        </is>
      </c>
      <c r="S47" s="147" t="n"/>
    </row>
    <row r="48" ht="30" customHeight="1" s="76">
      <c r="A48" s="152" t="n"/>
      <c r="B48" s="144" t="inlineStr">
        <is>
          <t>HGC-Lib-26097439</t>
        </is>
      </c>
      <c r="C48" s="144" t="n">
        <v>60.102</v>
      </c>
      <c r="D48" s="145" t="n">
        <v>5</v>
      </c>
      <c r="E48" s="146">
        <f>ROUND(D48/SUM(D6:D67)*IF(C48="",50,50.0),3)</f>
        <v/>
      </c>
      <c r="F48" s="146">
        <f>ROUND(E48/C48*G68,3)</f>
        <v/>
      </c>
      <c r="G48" s="144" t="inlineStr">
        <is>
          <t>有参转录组（RNA-seq）</t>
        </is>
      </c>
      <c r="H48" s="144" t="inlineStr">
        <is>
          <t>广州奥智生物科技有限公司</t>
        </is>
      </c>
      <c r="I48" s="146" t="n"/>
      <c r="J48" s="144" t="n"/>
      <c r="K48" s="144" t="inlineStr">
        <is>
          <t>26.7.28-1_G5</t>
        </is>
      </c>
      <c r="L48" s="147" t="n"/>
      <c r="M48" s="147" t="n"/>
      <c r="N48" s="147" t="n">
        <v>60.102</v>
      </c>
      <c r="O48" s="147" t="inlineStr">
        <is>
          <t>Illumina Truseq文库</t>
        </is>
      </c>
      <c r="P48" s="147" t="inlineStr">
        <is>
          <t>未磷酸化</t>
        </is>
      </c>
      <c r="Q48" s="147" t="inlineStr">
        <is>
          <t>未环化</t>
        </is>
      </c>
      <c r="R48" s="147" t="inlineStr">
        <is>
          <t>A</t>
        </is>
      </c>
      <c r="S48" s="147" t="n"/>
    </row>
    <row r="49" ht="30" customHeight="1" s="76">
      <c r="A49" s="152" t="n"/>
      <c r="B49" s="144" t="inlineStr">
        <is>
          <t>HGC-Lib-26097440</t>
        </is>
      </c>
      <c r="C49" s="144" t="n">
        <v>75.294</v>
      </c>
      <c r="D49" s="145" t="n">
        <v>5</v>
      </c>
      <c r="E49" s="146">
        <f>ROUND(D49/SUM(D6:D67)*IF(C49="",50,50.0),3)</f>
        <v/>
      </c>
      <c r="F49" s="146">
        <f>ROUND(E49/C49*G68,3)</f>
        <v/>
      </c>
      <c r="G49" s="144" t="inlineStr">
        <is>
          <t>有参转录组（RNA-seq）</t>
        </is>
      </c>
      <c r="H49" s="144" t="inlineStr">
        <is>
          <t>广州奥智生物科技有限公司</t>
        </is>
      </c>
      <c r="I49" s="146" t="n"/>
      <c r="J49" s="144" t="n"/>
      <c r="K49" s="144" t="inlineStr">
        <is>
          <t>26.7.28-1_G6</t>
        </is>
      </c>
      <c r="L49" s="147" t="n"/>
      <c r="M49" s="147" t="n"/>
      <c r="N49" s="147" t="n">
        <v>75.294</v>
      </c>
      <c r="O49" s="147" t="inlineStr">
        <is>
          <t>Illumina Truseq文库</t>
        </is>
      </c>
      <c r="P49" s="147" t="inlineStr">
        <is>
          <t>未磷酸化</t>
        </is>
      </c>
      <c r="Q49" s="147" t="inlineStr">
        <is>
          <t>未环化</t>
        </is>
      </c>
      <c r="R49" s="147" t="inlineStr">
        <is>
          <t>A</t>
        </is>
      </c>
      <c r="S49" s="147" t="n"/>
    </row>
    <row r="50" ht="30" customHeight="1" s="76">
      <c r="A50" s="152" t="n"/>
      <c r="B50" s="144" t="inlineStr">
        <is>
          <t>HGC-Lib-26097441</t>
        </is>
      </c>
      <c r="C50" s="144" t="n">
        <v>64.53</v>
      </c>
      <c r="D50" s="145" t="n">
        <v>5</v>
      </c>
      <c r="E50" s="146">
        <f>ROUND(D50/SUM(D6:D67)*IF(C50="",50,50.0),3)</f>
        <v/>
      </c>
      <c r="F50" s="146">
        <f>ROUND(E50/C50*G68,3)</f>
        <v/>
      </c>
      <c r="G50" s="144" t="inlineStr">
        <is>
          <t>有参转录组（RNA-seq）</t>
        </is>
      </c>
      <c r="H50" s="144" t="inlineStr">
        <is>
          <t>广州奥智生物科技有限公司</t>
        </is>
      </c>
      <c r="I50" s="146" t="n"/>
      <c r="J50" s="144" t="n"/>
      <c r="K50" s="144" t="inlineStr">
        <is>
          <t>26.7.28-1_G7</t>
        </is>
      </c>
      <c r="L50" s="147" t="n"/>
      <c r="M50" s="147" t="n"/>
      <c r="N50" s="147" t="n">
        <v>64.53</v>
      </c>
      <c r="O50" s="147" t="inlineStr">
        <is>
          <t>Illumina Truseq文库</t>
        </is>
      </c>
      <c r="P50" s="147" t="inlineStr">
        <is>
          <t>未磷酸化</t>
        </is>
      </c>
      <c r="Q50" s="147" t="inlineStr">
        <is>
          <t>未环化</t>
        </is>
      </c>
      <c r="R50" s="147" t="inlineStr">
        <is>
          <t>A</t>
        </is>
      </c>
      <c r="S50" s="147" t="n"/>
    </row>
    <row r="51" ht="30" customHeight="1" s="76">
      <c r="A51" s="152" t="n"/>
      <c r="B51" s="144" t="inlineStr">
        <is>
          <t>HGC-Lib-26097442</t>
        </is>
      </c>
      <c r="C51" s="144" t="n">
        <v>67.464</v>
      </c>
      <c r="D51" s="145" t="n">
        <v>5</v>
      </c>
      <c r="E51" s="146">
        <f>ROUND(D51/SUM(D6:D67)*IF(C51="",50,50.0),3)</f>
        <v/>
      </c>
      <c r="F51" s="146">
        <f>ROUND(E51/C51*G68,3)</f>
        <v/>
      </c>
      <c r="G51" s="144" t="inlineStr">
        <is>
          <t>有参转录组（RNA-seq）</t>
        </is>
      </c>
      <c r="H51" s="144" t="inlineStr">
        <is>
          <t>广州奥智生物科技有限公司</t>
        </is>
      </c>
      <c r="I51" s="146" t="n"/>
      <c r="J51" s="144" t="n"/>
      <c r="K51" s="144" t="inlineStr">
        <is>
          <t>26.7.28-1_G8</t>
        </is>
      </c>
      <c r="L51" s="147" t="n"/>
      <c r="M51" s="147" t="n"/>
      <c r="N51" s="147" t="n">
        <v>67.464</v>
      </c>
      <c r="O51" s="147" t="inlineStr">
        <is>
          <t>Illumina Truseq文库</t>
        </is>
      </c>
      <c r="P51" s="147" t="inlineStr">
        <is>
          <t>未磷酸化</t>
        </is>
      </c>
      <c r="Q51" s="147" t="inlineStr">
        <is>
          <t>未环化</t>
        </is>
      </c>
      <c r="R51" s="147" t="inlineStr">
        <is>
          <t>A</t>
        </is>
      </c>
      <c r="S51" s="147" t="n"/>
    </row>
    <row r="52" ht="30" customHeight="1" s="76">
      <c r="A52" s="152" t="n"/>
      <c r="B52" s="144" t="inlineStr">
        <is>
          <t>HGC-Lib-26097443</t>
        </is>
      </c>
      <c r="C52" s="144" t="n">
        <v>83.82599999999999</v>
      </c>
      <c r="D52" s="145" t="n">
        <v>5</v>
      </c>
      <c r="E52" s="146">
        <f>ROUND(D52/SUM(D6:D67)*IF(C52="",50,50.0),3)</f>
        <v/>
      </c>
      <c r="F52" s="146">
        <f>ROUND(E52/C52*G68,3)</f>
        <v/>
      </c>
      <c r="G52" s="144" t="inlineStr">
        <is>
          <t>有参转录组（RNA-seq）</t>
        </is>
      </c>
      <c r="H52" s="144" t="inlineStr">
        <is>
          <t>广州奥智生物科技有限公司</t>
        </is>
      </c>
      <c r="I52" s="146" t="n"/>
      <c r="J52" s="144" t="n"/>
      <c r="K52" s="144" t="inlineStr">
        <is>
          <t>26.7.28-1_G9</t>
        </is>
      </c>
      <c r="L52" s="147" t="n"/>
      <c r="M52" s="147" t="n"/>
      <c r="N52" s="147" t="n">
        <v>83.82599999999999</v>
      </c>
      <c r="O52" s="147" t="inlineStr">
        <is>
          <t>Illumina Truseq文库</t>
        </is>
      </c>
      <c r="P52" s="147" t="inlineStr">
        <is>
          <t>未磷酸化</t>
        </is>
      </c>
      <c r="Q52" s="147" t="inlineStr">
        <is>
          <t>未环化</t>
        </is>
      </c>
      <c r="R52" s="147" t="inlineStr">
        <is>
          <t>A</t>
        </is>
      </c>
      <c r="S52" s="147" t="n"/>
    </row>
    <row r="53" ht="30" customHeight="1" s="76">
      <c r="A53" s="152" t="n"/>
      <c r="B53" s="144" t="inlineStr">
        <is>
          <t>HGC-Lib-26097444</t>
        </is>
      </c>
      <c r="C53" s="144" t="n">
        <v>76.437</v>
      </c>
      <c r="D53" s="145" t="n">
        <v>5</v>
      </c>
      <c r="E53" s="146">
        <f>ROUND(D53/SUM(D6:D67)*IF(C53="",50,50.0),3)</f>
        <v/>
      </c>
      <c r="F53" s="146">
        <f>ROUND(E53/C53*G68,3)</f>
        <v/>
      </c>
      <c r="G53" s="144" t="inlineStr">
        <is>
          <t>有参转录组（RNA-seq）</t>
        </is>
      </c>
      <c r="H53" s="144" t="inlineStr">
        <is>
          <t>广州奥智生物科技有限公司</t>
        </is>
      </c>
      <c r="I53" s="146" t="n"/>
      <c r="J53" s="144" t="n"/>
      <c r="K53" s="144" t="inlineStr">
        <is>
          <t>26.7.28-1_G10</t>
        </is>
      </c>
      <c r="L53" s="147" t="n"/>
      <c r="M53" s="147" t="n"/>
      <c r="N53" s="147" t="n">
        <v>76.437</v>
      </c>
      <c r="O53" s="147" t="inlineStr">
        <is>
          <t>Illumina Truseq文库</t>
        </is>
      </c>
      <c r="P53" s="147" t="inlineStr">
        <is>
          <t>未磷酸化</t>
        </is>
      </c>
      <c r="Q53" s="147" t="inlineStr">
        <is>
          <t>未环化</t>
        </is>
      </c>
      <c r="R53" s="147" t="inlineStr">
        <is>
          <t>A</t>
        </is>
      </c>
      <c r="S53" s="147" t="n"/>
    </row>
    <row r="54" ht="30" customHeight="1" s="76">
      <c r="A54" s="152" t="n"/>
      <c r="B54" s="144" t="inlineStr">
        <is>
          <t>HGC-Lib-26097445</t>
        </is>
      </c>
      <c r="C54" s="144" t="n">
        <v>34.2</v>
      </c>
      <c r="D54" s="145" t="n">
        <v>5</v>
      </c>
      <c r="E54" s="146">
        <f>ROUND(D54/SUM(D6:D67)*IF(C54="",50,50.0),3)</f>
        <v/>
      </c>
      <c r="F54" s="146">
        <f>ROUND(E54/C54*G68,3)</f>
        <v/>
      </c>
      <c r="G54" s="144" t="inlineStr">
        <is>
          <t>有参转录组（RNA-seq）</t>
        </is>
      </c>
      <c r="H54" s="144" t="inlineStr">
        <is>
          <t>广州奥智生物科技有限公司</t>
        </is>
      </c>
      <c r="I54" s="146" t="n"/>
      <c r="J54" s="144" t="n"/>
      <c r="K54" s="144" t="inlineStr">
        <is>
          <t>26.7.28-1_G11</t>
        </is>
      </c>
      <c r="L54" s="147" t="n"/>
      <c r="M54" s="147" t="n"/>
      <c r="N54" s="147" t="n">
        <v>34.2</v>
      </c>
      <c r="O54" s="147" t="inlineStr">
        <is>
          <t>Illumina Truseq文库</t>
        </is>
      </c>
      <c r="P54" s="147" t="inlineStr">
        <is>
          <t>未磷酸化</t>
        </is>
      </c>
      <c r="Q54" s="147" t="inlineStr">
        <is>
          <t>未环化</t>
        </is>
      </c>
      <c r="R54" s="147" t="inlineStr">
        <is>
          <t>A</t>
        </is>
      </c>
      <c r="S54" s="147" t="n"/>
    </row>
    <row r="55" ht="30" customHeight="1" s="76">
      <c r="A55" s="152" t="n"/>
      <c r="B55" s="144" t="inlineStr">
        <is>
          <t>HGC-Lib-26097446</t>
        </is>
      </c>
      <c r="C55" s="144" t="n">
        <v>69.3</v>
      </c>
      <c r="D55" s="145" t="n">
        <v>5</v>
      </c>
      <c r="E55" s="146">
        <f>ROUND(D55/SUM(D6:D67)*IF(C55="",50,50.0),3)</f>
        <v/>
      </c>
      <c r="F55" s="146">
        <f>ROUND(E55/C55*G68,3)</f>
        <v/>
      </c>
      <c r="G55" s="144" t="inlineStr">
        <is>
          <t>有参转录组（RNA-seq）</t>
        </is>
      </c>
      <c r="H55" s="144" t="inlineStr">
        <is>
          <t>广州奥智生物科技有限公司</t>
        </is>
      </c>
      <c r="I55" s="146" t="n"/>
      <c r="J55" s="144" t="n"/>
      <c r="K55" s="144" t="inlineStr">
        <is>
          <t>26.7.28-1_G12</t>
        </is>
      </c>
      <c r="L55" s="147" t="n"/>
      <c r="M55" s="147" t="n"/>
      <c r="N55" s="147" t="n">
        <v>69.3</v>
      </c>
      <c r="O55" s="147" t="inlineStr">
        <is>
          <t>Illumina Truseq文库</t>
        </is>
      </c>
      <c r="P55" s="147" t="inlineStr">
        <is>
          <t>未磷酸化</t>
        </is>
      </c>
      <c r="Q55" s="147" t="inlineStr">
        <is>
          <t>未环化</t>
        </is>
      </c>
      <c r="R55" s="147" t="inlineStr">
        <is>
          <t>A</t>
        </is>
      </c>
      <c r="S55" s="147" t="n"/>
    </row>
    <row r="56" ht="30" customHeight="1" s="76">
      <c r="A56" s="152" t="n"/>
      <c r="B56" s="144" t="inlineStr">
        <is>
          <t>HGC-Lib-26097447</t>
        </is>
      </c>
      <c r="C56" s="144" t="n">
        <v>54.819</v>
      </c>
      <c r="D56" s="145" t="n">
        <v>5</v>
      </c>
      <c r="E56" s="146">
        <f>ROUND(D56/SUM(D6:D67)*IF(C56="",50,50.0),3)</f>
        <v/>
      </c>
      <c r="F56" s="146">
        <f>ROUND(E56/C56*G68,3)</f>
        <v/>
      </c>
      <c r="G56" s="144" t="inlineStr">
        <is>
          <t>有参转录组（RNA-seq）</t>
        </is>
      </c>
      <c r="H56" s="144" t="inlineStr">
        <is>
          <t>广州奥智生物科技有限公司</t>
        </is>
      </c>
      <c r="I56" s="146" t="n"/>
      <c r="J56" s="144" t="n"/>
      <c r="K56" s="144" t="inlineStr">
        <is>
          <t>26.7.28-1_H1</t>
        </is>
      </c>
      <c r="L56" s="147" t="n"/>
      <c r="M56" s="147" t="n"/>
      <c r="N56" s="147" t="n">
        <v>54.819</v>
      </c>
      <c r="O56" s="147" t="inlineStr">
        <is>
          <t>Illumina Truseq文库</t>
        </is>
      </c>
      <c r="P56" s="147" t="inlineStr">
        <is>
          <t>未磷酸化</t>
        </is>
      </c>
      <c r="Q56" s="147" t="inlineStr">
        <is>
          <t>未环化</t>
        </is>
      </c>
      <c r="R56" s="147" t="inlineStr">
        <is>
          <t>A</t>
        </is>
      </c>
      <c r="S56" s="147" t="n"/>
    </row>
    <row r="57" ht="30" customHeight="1" s="76">
      <c r="A57" s="152" t="n"/>
      <c r="B57" s="144" t="inlineStr">
        <is>
          <t>HGC-Lib-26097448</t>
        </is>
      </c>
      <c r="C57" s="144" t="n">
        <v>31.248</v>
      </c>
      <c r="D57" s="145" t="n">
        <v>5</v>
      </c>
      <c r="E57" s="146">
        <f>ROUND(D57/SUM(D6:D67)*IF(C57="",50,50.0),3)</f>
        <v/>
      </c>
      <c r="F57" s="146">
        <f>ROUND(E57/C57*G68,3)</f>
        <v/>
      </c>
      <c r="G57" s="144" t="inlineStr">
        <is>
          <t>有参转录组（RNA-seq）</t>
        </is>
      </c>
      <c r="H57" s="144" t="inlineStr">
        <is>
          <t>广州奥智生物科技有限公司</t>
        </is>
      </c>
      <c r="I57" s="146" t="n"/>
      <c r="J57" s="144" t="n"/>
      <c r="K57" s="144" t="inlineStr">
        <is>
          <t>26.7.28-1_H2</t>
        </is>
      </c>
      <c r="L57" s="147" t="n"/>
      <c r="M57" s="147" t="n"/>
      <c r="N57" s="147" t="n">
        <v>31.248</v>
      </c>
      <c r="O57" s="147" t="inlineStr">
        <is>
          <t>Illumina Truseq文库</t>
        </is>
      </c>
      <c r="P57" s="147" t="inlineStr">
        <is>
          <t>未磷酸化</t>
        </is>
      </c>
      <c r="Q57" s="147" t="inlineStr">
        <is>
          <t>未环化</t>
        </is>
      </c>
      <c r="R57" s="147" t="inlineStr">
        <is>
          <t>A</t>
        </is>
      </c>
      <c r="S57" s="147" t="n"/>
    </row>
    <row r="58" ht="30" customHeight="1" s="76">
      <c r="A58" s="152" t="n"/>
      <c r="B58" s="144" t="inlineStr">
        <is>
          <t>HGC-Lib-26097449</t>
        </is>
      </c>
      <c r="C58" s="144" t="n">
        <v>59.805</v>
      </c>
      <c r="D58" s="145" t="n">
        <v>5</v>
      </c>
      <c r="E58" s="146">
        <f>ROUND(D58/SUM(D6:D67)*IF(C58="",50,50.0),3)</f>
        <v/>
      </c>
      <c r="F58" s="146">
        <f>ROUND(E58/C58*G68,3)</f>
        <v/>
      </c>
      <c r="G58" s="144" t="inlineStr">
        <is>
          <t>有参转录组（RNA-seq）</t>
        </is>
      </c>
      <c r="H58" s="144" t="inlineStr">
        <is>
          <t>广州奥智生物科技有限公司</t>
        </is>
      </c>
      <c r="I58" s="146" t="n"/>
      <c r="J58" s="144" t="n"/>
      <c r="K58" s="144" t="inlineStr">
        <is>
          <t>26.7.28-1_H3</t>
        </is>
      </c>
      <c r="L58" s="147" t="n"/>
      <c r="M58" s="147" t="n"/>
      <c r="N58" s="147" t="n">
        <v>59.805</v>
      </c>
      <c r="O58" s="147" t="inlineStr">
        <is>
          <t>Illumina Truseq文库</t>
        </is>
      </c>
      <c r="P58" s="147" t="inlineStr">
        <is>
          <t>未磷酸化</t>
        </is>
      </c>
      <c r="Q58" s="147" t="inlineStr">
        <is>
          <t>未环化</t>
        </is>
      </c>
      <c r="R58" s="147" t="inlineStr">
        <is>
          <t>A</t>
        </is>
      </c>
      <c r="S58" s="147" t="n"/>
    </row>
    <row r="59" ht="30" customHeight="1" s="76">
      <c r="A59" s="152" t="n"/>
      <c r="B59" s="144" t="inlineStr">
        <is>
          <t>HGC-Lib-26097450</t>
        </is>
      </c>
      <c r="C59" s="144" t="n">
        <v>72.16200000000001</v>
      </c>
      <c r="D59" s="145" t="n">
        <v>5</v>
      </c>
      <c r="E59" s="146">
        <f>ROUND(D59/SUM(D6:D67)*IF(C59="",50,50.0),3)</f>
        <v/>
      </c>
      <c r="F59" s="146">
        <f>ROUND(E59/C59*G68,3)</f>
        <v/>
      </c>
      <c r="G59" s="144" t="inlineStr">
        <is>
          <t>有参转录组（RNA-seq）</t>
        </is>
      </c>
      <c r="H59" s="144" t="inlineStr">
        <is>
          <t>广州奥智生物科技有限公司</t>
        </is>
      </c>
      <c r="I59" s="146" t="n"/>
      <c r="J59" s="144" t="n"/>
      <c r="K59" s="144" t="inlineStr">
        <is>
          <t>26.7.28-1_H4</t>
        </is>
      </c>
      <c r="L59" s="147" t="n"/>
      <c r="M59" s="147" t="n"/>
      <c r="N59" s="147" t="n">
        <v>72.16200000000001</v>
      </c>
      <c r="O59" s="147" t="inlineStr">
        <is>
          <t>Illumina Truseq文库</t>
        </is>
      </c>
      <c r="P59" s="147" t="inlineStr">
        <is>
          <t>未磷酸化</t>
        </is>
      </c>
      <c r="Q59" s="147" t="inlineStr">
        <is>
          <t>未环化</t>
        </is>
      </c>
      <c r="R59" s="147" t="inlineStr">
        <is>
          <t>A</t>
        </is>
      </c>
      <c r="S59" s="147" t="n"/>
    </row>
    <row r="60" ht="30" customHeight="1" s="76">
      <c r="A60" s="152" t="n"/>
      <c r="B60" s="144" t="inlineStr">
        <is>
          <t>HGC-Lib-26097451</t>
        </is>
      </c>
      <c r="C60" s="144" t="n">
        <v>81.099</v>
      </c>
      <c r="D60" s="145" t="n">
        <v>5</v>
      </c>
      <c r="E60" s="146">
        <f>ROUND(D60/SUM(D6:D67)*IF(C60="",50,50.0),3)</f>
        <v/>
      </c>
      <c r="F60" s="146">
        <f>ROUND(E60/C60*G68,3)</f>
        <v/>
      </c>
      <c r="G60" s="144" t="inlineStr">
        <is>
          <t>有参转录组（RNA-seq）</t>
        </is>
      </c>
      <c r="H60" s="144" t="inlineStr">
        <is>
          <t>广州奥智生物科技有限公司</t>
        </is>
      </c>
      <c r="I60" s="146" t="n"/>
      <c r="J60" s="144" t="n"/>
      <c r="K60" s="144" t="inlineStr">
        <is>
          <t>26.7.28-1_H5</t>
        </is>
      </c>
      <c r="L60" s="147" t="n"/>
      <c r="M60" s="147" t="n"/>
      <c r="N60" s="147" t="n">
        <v>81.099</v>
      </c>
      <c r="O60" s="147" t="inlineStr">
        <is>
          <t>Illumina Truseq文库</t>
        </is>
      </c>
      <c r="P60" s="147" t="inlineStr">
        <is>
          <t>未磷酸化</t>
        </is>
      </c>
      <c r="Q60" s="147" t="inlineStr">
        <is>
          <t>未环化</t>
        </is>
      </c>
      <c r="R60" s="147" t="inlineStr">
        <is>
          <t>A</t>
        </is>
      </c>
      <c r="S60" s="147" t="n"/>
    </row>
    <row r="61" ht="30" customHeight="1" s="76">
      <c r="A61" s="152" t="n"/>
      <c r="B61" s="144" t="inlineStr">
        <is>
          <t>HGC-Lib-26097452</t>
        </is>
      </c>
      <c r="C61" s="144" t="n">
        <v>76.32899999999999</v>
      </c>
      <c r="D61" s="145" t="n">
        <v>5</v>
      </c>
      <c r="E61" s="146">
        <f>ROUND(D61/SUM(D6:D67)*IF(C61="",50,50.0),3)</f>
        <v/>
      </c>
      <c r="F61" s="146">
        <f>ROUND(E61/C61*G68,3)</f>
        <v/>
      </c>
      <c r="G61" s="144" t="inlineStr">
        <is>
          <t>有参转录组（RNA-seq）</t>
        </is>
      </c>
      <c r="H61" s="144" t="inlineStr">
        <is>
          <t>广州奥智生物科技有限公司</t>
        </is>
      </c>
      <c r="I61" s="146" t="n"/>
      <c r="J61" s="144" t="n"/>
      <c r="K61" s="144" t="inlineStr">
        <is>
          <t>26.7.28-1_H6</t>
        </is>
      </c>
      <c r="L61" s="147" t="n"/>
      <c r="M61" s="147" t="n"/>
      <c r="N61" s="147" t="n">
        <v>76.32899999999999</v>
      </c>
      <c r="O61" s="147" t="inlineStr">
        <is>
          <t>Illumina Truseq文库</t>
        </is>
      </c>
      <c r="P61" s="147" t="inlineStr">
        <is>
          <t>未磷酸化</t>
        </is>
      </c>
      <c r="Q61" s="147" t="inlineStr">
        <is>
          <t>未环化</t>
        </is>
      </c>
      <c r="R61" s="147" t="inlineStr">
        <is>
          <t>A</t>
        </is>
      </c>
      <c r="S61" s="147" t="n"/>
    </row>
    <row r="62" ht="30" customHeight="1" s="76">
      <c r="A62" s="152" t="n"/>
      <c r="B62" s="144" t="inlineStr">
        <is>
          <t>HGC-Lib-26097453</t>
        </is>
      </c>
      <c r="C62" s="144" t="n">
        <v>66.672</v>
      </c>
      <c r="D62" s="145" t="n">
        <v>5</v>
      </c>
      <c r="E62" s="146">
        <f>ROUND(D62/SUM(D6:D67)*IF(C62="",50,50.0),3)</f>
        <v/>
      </c>
      <c r="F62" s="146">
        <f>ROUND(E62/C62*G68,3)</f>
        <v/>
      </c>
      <c r="G62" s="144" t="inlineStr">
        <is>
          <t>有参转录组（RNA-seq）</t>
        </is>
      </c>
      <c r="H62" s="144" t="inlineStr">
        <is>
          <t>广州奥智生物科技有限公司</t>
        </is>
      </c>
      <c r="I62" s="146" t="n"/>
      <c r="J62" s="144" t="n"/>
      <c r="K62" s="144" t="inlineStr">
        <is>
          <t>26.7.28-1_H7</t>
        </is>
      </c>
      <c r="L62" s="147" t="n"/>
      <c r="M62" s="147" t="n"/>
      <c r="N62" s="147" t="n">
        <v>66.672</v>
      </c>
      <c r="O62" s="147" t="inlineStr">
        <is>
          <t>Illumina Truseq文库</t>
        </is>
      </c>
      <c r="P62" s="147" t="inlineStr">
        <is>
          <t>未磷酸化</t>
        </is>
      </c>
      <c r="Q62" s="147" t="inlineStr">
        <is>
          <t>未环化</t>
        </is>
      </c>
      <c r="R62" s="147" t="inlineStr">
        <is>
          <t>A</t>
        </is>
      </c>
      <c r="S62" s="147" t="n"/>
    </row>
    <row r="63" ht="30" customHeight="1" s="76">
      <c r="A63" s="152" t="n"/>
      <c r="B63" s="144" t="inlineStr">
        <is>
          <t>HGC-Lib-26097454</t>
        </is>
      </c>
      <c r="C63" s="144" t="n">
        <v>78.066</v>
      </c>
      <c r="D63" s="145" t="n">
        <v>5</v>
      </c>
      <c r="E63" s="146">
        <f>ROUND(D63/SUM(D6:D67)*IF(C63="",50,50.0),3)</f>
        <v/>
      </c>
      <c r="F63" s="146">
        <f>ROUND(E63/C63*G68,3)</f>
        <v/>
      </c>
      <c r="G63" s="144" t="inlineStr">
        <is>
          <t>有参转录组（RNA-seq）</t>
        </is>
      </c>
      <c r="H63" s="144" t="inlineStr">
        <is>
          <t>广州奥智生物科技有限公司</t>
        </is>
      </c>
      <c r="I63" s="146" t="n"/>
      <c r="J63" s="144" t="n"/>
      <c r="K63" s="144" t="inlineStr">
        <is>
          <t>26.7.28-1_H8</t>
        </is>
      </c>
      <c r="L63" s="147" t="n"/>
      <c r="M63" s="147" t="n"/>
      <c r="N63" s="147" t="n">
        <v>78.066</v>
      </c>
      <c r="O63" s="147" t="inlineStr">
        <is>
          <t>Illumina Truseq文库</t>
        </is>
      </c>
      <c r="P63" s="147" t="inlineStr">
        <is>
          <t>未磷酸化</t>
        </is>
      </c>
      <c r="Q63" s="147" t="inlineStr">
        <is>
          <t>未环化</t>
        </is>
      </c>
      <c r="R63" s="147" t="inlineStr">
        <is>
          <t>A</t>
        </is>
      </c>
      <c r="S63" s="147" t="n"/>
    </row>
    <row r="64" ht="30" customHeight="1" s="76">
      <c r="A64" s="152" t="n"/>
      <c r="B64" s="144" t="inlineStr">
        <is>
          <t>HGC-Lib-26097455</t>
        </is>
      </c>
      <c r="C64" s="144" t="n">
        <v>30.6</v>
      </c>
      <c r="D64" s="145" t="n">
        <v>5</v>
      </c>
      <c r="E64" s="146">
        <f>ROUND(D64/SUM(D6:D67)*IF(C64="",50,50.0),3)</f>
        <v/>
      </c>
      <c r="F64" s="146">
        <f>ROUND(E64/C64*G68,3)</f>
        <v/>
      </c>
      <c r="G64" s="144" t="inlineStr">
        <is>
          <t>有参转录组（RNA-seq）</t>
        </is>
      </c>
      <c r="H64" s="144" t="inlineStr">
        <is>
          <t>广州奥智生物科技有限公司</t>
        </is>
      </c>
      <c r="I64" s="146" t="n"/>
      <c r="J64" s="144" t="n"/>
      <c r="K64" s="144" t="inlineStr">
        <is>
          <t>26.7.28-1_H9</t>
        </is>
      </c>
      <c r="L64" s="147" t="n"/>
      <c r="M64" s="147" t="n"/>
      <c r="N64" s="147" t="n">
        <v>30.6</v>
      </c>
      <c r="O64" s="147" t="inlineStr">
        <is>
          <t>Illumina Truseq文库</t>
        </is>
      </c>
      <c r="P64" s="147" t="inlineStr">
        <is>
          <t>未磷酸化</t>
        </is>
      </c>
      <c r="Q64" s="147" t="inlineStr">
        <is>
          <t>未环化</t>
        </is>
      </c>
      <c r="R64" s="147" t="inlineStr">
        <is>
          <t>A</t>
        </is>
      </c>
      <c r="S64" s="147" t="n"/>
    </row>
    <row r="65" ht="30" customHeight="1" s="76">
      <c r="A65" s="152" t="n"/>
      <c r="B65" s="144" t="inlineStr">
        <is>
          <t>HGC-Lib-26097456</t>
        </is>
      </c>
      <c r="C65" s="144" t="n">
        <v>30.78</v>
      </c>
      <c r="D65" s="145" t="n">
        <v>5</v>
      </c>
      <c r="E65" s="146">
        <f>ROUND(D65/SUM(D6:D67)*IF(C65="",50,50.0),3)</f>
        <v/>
      </c>
      <c r="F65" s="146">
        <f>ROUND(E65/C65*G68,3)</f>
        <v/>
      </c>
      <c r="G65" s="144" t="inlineStr">
        <is>
          <t>有参转录组（RNA-seq）</t>
        </is>
      </c>
      <c r="H65" s="144" t="inlineStr">
        <is>
          <t>广州奥智生物科技有限公司</t>
        </is>
      </c>
      <c r="I65" s="146" t="n"/>
      <c r="J65" s="144" t="n"/>
      <c r="K65" s="144" t="inlineStr">
        <is>
          <t>26.7.28-1_H10</t>
        </is>
      </c>
      <c r="L65" s="147" t="n"/>
      <c r="M65" s="147" t="n"/>
      <c r="N65" s="147" t="n">
        <v>30.78</v>
      </c>
      <c r="O65" s="147" t="inlineStr">
        <is>
          <t>Illumina Truseq文库</t>
        </is>
      </c>
      <c r="P65" s="147" t="inlineStr">
        <is>
          <t>未磷酸化</t>
        </is>
      </c>
      <c r="Q65" s="147" t="inlineStr">
        <is>
          <t>未环化</t>
        </is>
      </c>
      <c r="R65" s="147" t="inlineStr">
        <is>
          <t>A</t>
        </is>
      </c>
      <c r="S65" s="147" t="n"/>
    </row>
    <row r="66" ht="30" customHeight="1" s="76">
      <c r="A66" s="152" t="n"/>
      <c r="B66" s="144" t="inlineStr">
        <is>
          <t>HGC-Lib-26097457</t>
        </is>
      </c>
      <c r="C66" s="144" t="n">
        <v>31.32</v>
      </c>
      <c r="D66" s="145" t="n">
        <v>5</v>
      </c>
      <c r="E66" s="146">
        <f>ROUND(D66/SUM(D6:D67)*IF(C66="",50,50.0),3)</f>
        <v/>
      </c>
      <c r="F66" s="146">
        <f>ROUND(E66/C66*G68,3)</f>
        <v/>
      </c>
      <c r="G66" s="144" t="inlineStr">
        <is>
          <t>有参转录组（RNA-seq）</t>
        </is>
      </c>
      <c r="H66" s="144" t="inlineStr">
        <is>
          <t>广州奥智生物科技有限公司</t>
        </is>
      </c>
      <c r="I66" s="146" t="n"/>
      <c r="J66" s="144" t="n"/>
      <c r="K66" s="144" t="inlineStr">
        <is>
          <t>26.7.28-1_H11</t>
        </is>
      </c>
      <c r="L66" s="147" t="n"/>
      <c r="M66" s="147" t="n"/>
      <c r="N66" s="147" t="n">
        <v>31.32</v>
      </c>
      <c r="O66" s="147" t="inlineStr">
        <is>
          <t>Illumina Truseq文库</t>
        </is>
      </c>
      <c r="P66" s="147" t="inlineStr">
        <is>
          <t>未磷酸化</t>
        </is>
      </c>
      <c r="Q66" s="147" t="inlineStr">
        <is>
          <t>未环化</t>
        </is>
      </c>
      <c r="R66" s="147" t="inlineStr">
        <is>
          <t>A</t>
        </is>
      </c>
      <c r="S66" s="147" t="n"/>
    </row>
    <row r="67" ht="30" customHeight="1" s="76">
      <c r="A67" s="153" t="n"/>
      <c r="B67" s="144" t="inlineStr">
        <is>
          <t>HGC-Lib-26097458</t>
        </is>
      </c>
      <c r="C67" s="144" t="n">
        <v>31.68</v>
      </c>
      <c r="D67" s="145" t="n">
        <v>5</v>
      </c>
      <c r="E67" s="146">
        <f>ROUND(D67/SUM(D6:D67)*IF(C67="",50,50.0),3)</f>
        <v/>
      </c>
      <c r="F67" s="146">
        <f>ROUND(E67/C67*G68,3)</f>
        <v/>
      </c>
      <c r="G67" s="144" t="inlineStr">
        <is>
          <t>有参转录组（RNA-seq）</t>
        </is>
      </c>
      <c r="H67" s="144" t="inlineStr">
        <is>
          <t>广州奥智生物科技有限公司</t>
        </is>
      </c>
      <c r="I67" s="146" t="n"/>
      <c r="J67" s="144" t="n"/>
      <c r="K67" s="144" t="inlineStr">
        <is>
          <t>26.7.28-1_H12</t>
        </is>
      </c>
      <c r="L67" s="147" t="n"/>
      <c r="M67" s="147" t="n"/>
      <c r="N67" s="147" t="n">
        <v>31.68</v>
      </c>
      <c r="O67" s="147" t="inlineStr">
        <is>
          <t>Illumina Truseq文库</t>
        </is>
      </c>
      <c r="P67" s="147" t="inlineStr">
        <is>
          <t>未磷酸化</t>
        </is>
      </c>
      <c r="Q67" s="147" t="inlineStr">
        <is>
          <t>未环化</t>
        </is>
      </c>
      <c r="R67" s="147" t="inlineStr">
        <is>
          <t>A</t>
        </is>
      </c>
      <c r="S67" s="147" t="n"/>
    </row>
    <row r="68" ht="30" customHeight="1" s="76">
      <c r="A68" s="148" t="n"/>
      <c r="B68" s="147" t="n">
        <v>62</v>
      </c>
      <c r="C68" s="148" t="n"/>
      <c r="D68" s="149">
        <f>ROUND(SUM(D6:D67),2)</f>
        <v/>
      </c>
      <c r="E68" s="150">
        <f>ROUND(SUM(E6:E67),3)</f>
        <v/>
      </c>
      <c r="F68" s="150">
        <f>IF(G68&gt;1,ROUND(SUM(F6:F67)/G68*2,3),ROUND(SUM(F6:F67),3))</f>
        <v/>
      </c>
      <c r="G68" s="147" t="n">
        <v>126</v>
      </c>
      <c r="H68" s="148" t="n"/>
      <c r="I68" s="151">
        <f>ROUND(20-F68,3)</f>
        <v/>
      </c>
      <c r="J68" s="148" t="n"/>
      <c r="K68" s="148" t="n"/>
      <c r="L68" s="148" t="n"/>
      <c r="M68" s="147">
        <f>AVERAGE(M6:M67)</f>
        <v/>
      </c>
      <c r="N68" s="148" t="n"/>
      <c r="O68" s="148" t="n"/>
      <c r="P68" s="148" t="n"/>
      <c r="Q68" s="148" t="n"/>
      <c r="R68" s="148" t="n"/>
      <c r="S68" s="148" t="n"/>
    </row>
    <row r="69" ht="30" customHeight="1" s="76">
      <c r="A69" s="144" t="inlineStr">
        <is>
          <t>C4</t>
        </is>
      </c>
      <c r="B69" s="144" t="inlineStr">
        <is>
          <t>HGC-26092912</t>
        </is>
      </c>
      <c r="C69" s="144" t="n">
        <v>8.1</v>
      </c>
      <c r="D69" s="145" t="n">
        <v>6</v>
      </c>
      <c r="E69" s="146">
        <f>ROUND(D69/SUM(D69:D70)*IF(C69="",50,50.0),3)</f>
        <v/>
      </c>
      <c r="F69" s="146">
        <f>ROUND(E69/C69*G71,3)</f>
        <v/>
      </c>
      <c r="G69" s="144" t="inlineStr">
        <is>
          <t>mRNA-T7</t>
        </is>
      </c>
      <c r="H69" s="144" t="inlineStr">
        <is>
          <t>南华大学</t>
        </is>
      </c>
      <c r="I69" s="146" t="n"/>
      <c r="J69" s="144" t="inlineStr">
        <is>
          <t>A12</t>
        </is>
      </c>
      <c r="K69" s="144" t="n"/>
      <c r="L69" s="147" t="n"/>
      <c r="M69" s="147" t="n">
        <v>470</v>
      </c>
      <c r="N69" s="147" t="n">
        <v>8.1</v>
      </c>
      <c r="O69" s="147" t="inlineStr">
        <is>
          <t>合格</t>
        </is>
      </c>
      <c r="P69" s="147" t="n"/>
      <c r="Q69" s="147" t="n"/>
      <c r="R69" s="147" t="n"/>
      <c r="S69" s="147" t="n"/>
    </row>
    <row r="70" ht="30" customHeight="1" s="76">
      <c r="A70" s="153" t="n"/>
      <c r="B70" s="144" t="inlineStr">
        <is>
          <t>HGC-26092913</t>
        </is>
      </c>
      <c r="C70" s="144" t="n">
        <v>7.53</v>
      </c>
      <c r="D70" s="145" t="n">
        <v>6</v>
      </c>
      <c r="E70" s="146">
        <f>ROUND(D70/SUM(D69:D70)*IF(C70="",50,50.0),3)</f>
        <v/>
      </c>
      <c r="F70" s="146">
        <f>ROUND(E70/C70*G71,3)</f>
        <v/>
      </c>
      <c r="G70" s="144" t="inlineStr">
        <is>
          <t>mRNA-T7</t>
        </is>
      </c>
      <c r="H70" s="144" t="inlineStr">
        <is>
          <t>南华大学</t>
        </is>
      </c>
      <c r="I70" s="146" t="n"/>
      <c r="J70" s="144" t="inlineStr">
        <is>
          <t>B12</t>
        </is>
      </c>
      <c r="K70" s="144" t="n"/>
      <c r="L70" s="147" t="n"/>
      <c r="M70" s="147" t="n">
        <v>470</v>
      </c>
      <c r="N70" s="147" t="n">
        <v>7.53</v>
      </c>
      <c r="O70" s="147" t="inlineStr">
        <is>
          <t>合格</t>
        </is>
      </c>
      <c r="P70" s="147" t="n"/>
      <c r="Q70" s="147" t="n"/>
      <c r="R70" s="147" t="n"/>
      <c r="S70" s="147" t="n"/>
    </row>
    <row r="71" ht="30" customHeight="1" s="76">
      <c r="A71" s="148" t="n"/>
      <c r="B71" s="147" t="n">
        <v>2</v>
      </c>
      <c r="C71" s="148" t="n"/>
      <c r="D71" s="149">
        <f>ROUND(SUM(D69:D70),2)</f>
        <v/>
      </c>
      <c r="E71" s="150">
        <f>ROUND(SUM(E69:E70),3)</f>
        <v/>
      </c>
      <c r="F71" s="150">
        <f>IF(G71&gt;1,ROUND(SUM(F69:F70)/G71*2,3),ROUND(SUM(F69:F70),3))</f>
        <v/>
      </c>
      <c r="G71" s="147" t="n">
        <v>1</v>
      </c>
      <c r="H71" s="148" t="n"/>
      <c r="I71" s="151">
        <f>ROUND(20-F71,3)</f>
        <v/>
      </c>
      <c r="J71" s="148" t="n"/>
      <c r="K71" s="148" t="n"/>
      <c r="L71" s="148" t="n"/>
      <c r="M71" s="147">
        <f>AVERAGE(M69:M70)</f>
        <v/>
      </c>
      <c r="N71" s="148" t="n"/>
      <c r="O71" s="148" t="n"/>
      <c r="P71" s="148" t="n"/>
      <c r="Q71" s="148" t="n"/>
      <c r="R71" s="148" t="n"/>
      <c r="S71" s="148" t="n"/>
    </row>
    <row r="72" ht="30" customHeight="1" s="76">
      <c r="A72" s="144" t="inlineStr">
        <is>
          <t>C5</t>
        </is>
      </c>
      <c r="B72" s="144" t="inlineStr">
        <is>
          <t>HGC-Lib-26094103</t>
        </is>
      </c>
      <c r="C72" s="144" t="n">
        <v>5.08</v>
      </c>
      <c r="D72" s="145" t="n">
        <v>800</v>
      </c>
      <c r="E72" s="146">
        <f>ROUND(D72/SUM(D72:D72)*IF(C72="",50,50.0),3)</f>
        <v/>
      </c>
      <c r="F72" s="146">
        <f>ROUND(E72/C72*G73,3)</f>
        <v/>
      </c>
      <c r="G72" s="144" t="inlineStr">
        <is>
          <t>HIC文库</t>
        </is>
      </c>
      <c r="H72" s="144" t="inlineStr">
        <is>
          <t>安徽医科大学第一附属医院</t>
        </is>
      </c>
      <c r="I72" s="146" t="n"/>
      <c r="J72" s="144" t="n"/>
      <c r="K72" s="144" t="n"/>
      <c r="L72" s="147" t="inlineStr">
        <is>
          <t>加测_260727_LH00128_0652_A23WFHHLT4</t>
        </is>
      </c>
      <c r="M72" s="147" t="n">
        <v>374</v>
      </c>
      <c r="N72" s="147" t="n">
        <v>5.08</v>
      </c>
      <c r="O72" s="147" t="n"/>
      <c r="P72" s="147" t="n"/>
      <c r="Q72" s="147" t="n"/>
      <c r="R72" s="147" t="inlineStr">
        <is>
          <t>A</t>
        </is>
      </c>
      <c r="S72" s="147" t="n"/>
    </row>
    <row r="73" ht="30" customHeight="1" s="76">
      <c r="A73" s="148" t="n"/>
      <c r="B73" s="147" t="n">
        <v>1</v>
      </c>
      <c r="C73" s="148" t="n"/>
      <c r="D73" s="149">
        <f>ROUND(SUM(D72:D72),2)</f>
        <v/>
      </c>
      <c r="E73" s="150">
        <f>ROUND(SUM(E72:E72),3)</f>
        <v/>
      </c>
      <c r="F73" s="150">
        <f>IF(G73&gt;1,ROUND(SUM(F72:F72)/G73*2,3),ROUND(SUM(F72:F72),3))</f>
        <v/>
      </c>
      <c r="G73" s="147" t="n">
        <v>1</v>
      </c>
      <c r="H73" s="148" t="n"/>
      <c r="I73" s="151">
        <f>ROUND(20-F73,3)</f>
        <v/>
      </c>
      <c r="J73" s="148" t="n"/>
      <c r="K73" s="148" t="n"/>
      <c r="L73" s="148" t="n"/>
      <c r="M73" s="147">
        <f>AVERAGE(M72:M72)</f>
        <v/>
      </c>
      <c r="N73" s="148" t="n"/>
      <c r="O73" s="148" t="n"/>
      <c r="P73" s="148" t="n"/>
      <c r="Q73" s="148" t="n"/>
      <c r="R73" s="148" t="n"/>
      <c r="S73" s="148" t="n"/>
    </row>
    <row r="74" ht="30" customHeight="1" s="76">
      <c r="A74" s="144" t="inlineStr">
        <is>
          <t>C6</t>
        </is>
      </c>
      <c r="B74" s="144" t="inlineStr">
        <is>
          <t>HGC-Lib-26094291</t>
        </is>
      </c>
      <c r="C74" s="144" t="n">
        <v>35.4</v>
      </c>
      <c r="D74" s="145" t="n">
        <v>90</v>
      </c>
      <c r="E74" s="146">
        <f>ROUND(D74/SUM(D74:D77)*IF(C74="",50,50.0),3)</f>
        <v/>
      </c>
      <c r="F74" s="146">
        <f>ROUND(E74/C74*G78,3)</f>
        <v/>
      </c>
      <c r="G74" s="144" t="inlineStr">
        <is>
          <t>WGS</t>
        </is>
      </c>
      <c r="H74" s="144" t="inlineStr">
        <is>
          <t>深圳市艾斯基因科技有限公司</t>
        </is>
      </c>
      <c r="I74" s="146" t="n"/>
      <c r="J74" s="144" t="n"/>
      <c r="K74" s="144" t="n"/>
      <c r="L74" s="147" t="n"/>
      <c r="M74" s="147" t="n">
        <v>345</v>
      </c>
      <c r="N74" s="147" t="n">
        <v>35.4</v>
      </c>
      <c r="O74" s="147" t="inlineStr">
        <is>
          <t>Illumina Truseq文库</t>
        </is>
      </c>
      <c r="P74" s="147" t="inlineStr">
        <is>
          <t>未磷酸化</t>
        </is>
      </c>
      <c r="Q74" s="147" t="inlineStr">
        <is>
          <t>未环化</t>
        </is>
      </c>
      <c r="R74" s="147" t="inlineStr">
        <is>
          <t>B</t>
        </is>
      </c>
      <c r="S74" s="147" t="inlineStr">
        <is>
          <t>C</t>
        </is>
      </c>
    </row>
    <row r="75" ht="30" customHeight="1" s="76">
      <c r="A75" s="152" t="n"/>
      <c r="B75" s="144" t="inlineStr">
        <is>
          <t>HGC-Lib-26094294</t>
        </is>
      </c>
      <c r="C75" s="144" t="n">
        <v>48.8</v>
      </c>
      <c r="D75" s="145" t="n">
        <v>90</v>
      </c>
      <c r="E75" s="146">
        <f>ROUND(D75/SUM(D74:D77)*IF(C75="",50,50.0),3)</f>
        <v/>
      </c>
      <c r="F75" s="146">
        <f>ROUND(E75/C75*G78,3)</f>
        <v/>
      </c>
      <c r="G75" s="144" t="inlineStr">
        <is>
          <t>WGS</t>
        </is>
      </c>
      <c r="H75" s="144" t="inlineStr">
        <is>
          <t>深圳市艾斯基因科技有限公司</t>
        </is>
      </c>
      <c r="I75" s="146" t="n"/>
      <c r="J75" s="144" t="n"/>
      <c r="K75" s="144" t="n"/>
      <c r="L75" s="147" t="n"/>
      <c r="M75" s="147" t="n">
        <v>366</v>
      </c>
      <c r="N75" s="147" t="n">
        <v>48.8</v>
      </c>
      <c r="O75" s="147" t="inlineStr">
        <is>
          <t>Illumina Truseq文库</t>
        </is>
      </c>
      <c r="P75" s="147" t="inlineStr">
        <is>
          <t>未磷酸化</t>
        </is>
      </c>
      <c r="Q75" s="147" t="inlineStr">
        <is>
          <t>未环化</t>
        </is>
      </c>
      <c r="R75" s="147" t="inlineStr">
        <is>
          <t>B</t>
        </is>
      </c>
      <c r="S75" s="147" t="inlineStr">
        <is>
          <t>C</t>
        </is>
      </c>
    </row>
    <row r="76" ht="30" customHeight="1" s="76">
      <c r="A76" s="152" t="n"/>
      <c r="B76" s="144" t="inlineStr">
        <is>
          <t>HGC-Lib-26094295</t>
        </is>
      </c>
      <c r="C76" s="144" t="n">
        <v>66</v>
      </c>
      <c r="D76" s="145" t="n">
        <v>90</v>
      </c>
      <c r="E76" s="146">
        <f>ROUND(D76/SUM(D74:D77)*IF(C76="",50,50.0),3)</f>
        <v/>
      </c>
      <c r="F76" s="146">
        <f>ROUND(E76/C76*G78,3)</f>
        <v/>
      </c>
      <c r="G76" s="144" t="inlineStr">
        <is>
          <t>WGS</t>
        </is>
      </c>
      <c r="H76" s="144" t="inlineStr">
        <is>
          <t>深圳市艾斯基因科技有限公司</t>
        </is>
      </c>
      <c r="I76" s="146" t="n"/>
      <c r="J76" s="144" t="n"/>
      <c r="K76" s="144" t="n"/>
      <c r="L76" s="147" t="n"/>
      <c r="M76" s="147" t="n">
        <v>365</v>
      </c>
      <c r="N76" s="147" t="n">
        <v>66</v>
      </c>
      <c r="O76" s="147" t="inlineStr">
        <is>
          <t>Illumina Truseq文库</t>
        </is>
      </c>
      <c r="P76" s="147" t="inlineStr">
        <is>
          <t>未磷酸化</t>
        </is>
      </c>
      <c r="Q76" s="147" t="inlineStr">
        <is>
          <t>未环化</t>
        </is>
      </c>
      <c r="R76" s="147" t="inlineStr">
        <is>
          <t>B</t>
        </is>
      </c>
      <c r="S76" s="147" t="inlineStr">
        <is>
          <t>C</t>
        </is>
      </c>
    </row>
    <row r="77" ht="30" customHeight="1" s="76">
      <c r="A77" s="153" t="n"/>
      <c r="B77" s="144" t="inlineStr">
        <is>
          <t>HGC-Lib-26094296</t>
        </is>
      </c>
      <c r="C77" s="144" t="n">
        <v>51.6</v>
      </c>
      <c r="D77" s="145" t="n">
        <v>90</v>
      </c>
      <c r="E77" s="146">
        <f>ROUND(D77/SUM(D74:D77)*IF(C77="",50,50.0),3)</f>
        <v/>
      </c>
      <c r="F77" s="146">
        <f>ROUND(E77/C77*G78,3)</f>
        <v/>
      </c>
      <c r="G77" s="144" t="inlineStr">
        <is>
          <t>WGS</t>
        </is>
      </c>
      <c r="H77" s="144" t="inlineStr">
        <is>
          <t>深圳市艾斯基因科技有限公司</t>
        </is>
      </c>
      <c r="I77" s="146" t="n"/>
      <c r="J77" s="144" t="n"/>
      <c r="K77" s="144" t="n"/>
      <c r="L77" s="147" t="n"/>
      <c r="M77" s="147" t="n">
        <v>360</v>
      </c>
      <c r="N77" s="147" t="n">
        <v>51.6</v>
      </c>
      <c r="O77" s="147" t="inlineStr">
        <is>
          <t>Illumina Truseq文库</t>
        </is>
      </c>
      <c r="P77" s="147" t="inlineStr">
        <is>
          <t>未磷酸化</t>
        </is>
      </c>
      <c r="Q77" s="147" t="inlineStr">
        <is>
          <t>未环化</t>
        </is>
      </c>
      <c r="R77" s="147" t="inlineStr">
        <is>
          <t>B</t>
        </is>
      </c>
      <c r="S77" s="147" t="inlineStr">
        <is>
          <t>C</t>
        </is>
      </c>
    </row>
    <row r="78" ht="30" customHeight="1" s="76">
      <c r="A78" s="148" t="n"/>
      <c r="B78" s="147" t="n">
        <v>4</v>
      </c>
      <c r="C78" s="148" t="n"/>
      <c r="D78" s="149">
        <f>ROUND(SUM(D74:D77),2)</f>
        <v/>
      </c>
      <c r="E78" s="150">
        <f>ROUND(SUM(E74:E77),3)</f>
        <v/>
      </c>
      <c r="F78" s="150">
        <f>IF(G78&gt;1,ROUND(SUM(F74:F77)/G78*2,3),ROUND(SUM(F74:F77),3))</f>
        <v/>
      </c>
      <c r="G78" s="147" t="n">
        <v>3</v>
      </c>
      <c r="H78" s="148" t="n"/>
      <c r="I78" s="151">
        <f>ROUND(20-F78,3)</f>
        <v/>
      </c>
      <c r="J78" s="148" t="n"/>
      <c r="K78" s="148" t="n"/>
      <c r="L78" s="148" t="n"/>
      <c r="M78" s="147">
        <f>AVERAGE(M74:M77)</f>
        <v/>
      </c>
      <c r="N78" s="148" t="n"/>
      <c r="O78" s="148" t="n"/>
      <c r="P78" s="148" t="n"/>
      <c r="Q78" s="148" t="n"/>
      <c r="R78" s="148" t="n"/>
      <c r="S78" s="148" t="n"/>
    </row>
    <row r="79" ht="30" customHeight="1" s="76">
      <c r="A79" s="144" t="inlineStr">
        <is>
          <t>C7</t>
        </is>
      </c>
      <c r="B79" s="144" t="inlineStr">
        <is>
          <t>20260731R-P4-204</t>
        </is>
      </c>
      <c r="C79" s="144" t="n">
        <v>36.92</v>
      </c>
      <c r="D79" s="145" t="n">
        <v>204</v>
      </c>
      <c r="E79" s="146">
        <f>ROUND(D79/SUM(D79:D79)*IF(C79="",50,50.0),3)</f>
        <v/>
      </c>
      <c r="F79" s="146">
        <f>ROUND(E79/C79*G80,3)</f>
        <v/>
      </c>
      <c r="G79" s="144" t="inlineStr">
        <is>
          <t>mRNA-T7</t>
        </is>
      </c>
      <c r="H79" s="144" t="inlineStr">
        <is>
          <t>南华大学附属第二医院</t>
        </is>
      </c>
      <c r="I79" s="146" t="n"/>
      <c r="J79" s="144" t="n"/>
      <c r="K79" s="144" t="n"/>
      <c r="L79" s="147" t="n"/>
      <c r="M79" s="147" t="n">
        <v>474</v>
      </c>
      <c r="N79" s="147" t="n">
        <v>36.92</v>
      </c>
      <c r="O79" s="147" t="inlineStr">
        <is>
          <t>合格</t>
        </is>
      </c>
      <c r="P79" s="147" t="n"/>
      <c r="Q79" s="147" t="n"/>
      <c r="R79" s="147" t="n"/>
      <c r="S79" s="147" t="n"/>
    </row>
    <row r="80" ht="30" customHeight="1" s="76">
      <c r="A80" s="148" t="n"/>
      <c r="B80" s="147" t="n">
        <v>1</v>
      </c>
      <c r="C80" s="148" t="n"/>
      <c r="D80" s="149">
        <f>ROUND(SUM(D79:D79),2)</f>
        <v/>
      </c>
      <c r="E80" s="150">
        <f>ROUND(SUM(E79:E79),3)</f>
        <v/>
      </c>
      <c r="F80" s="150">
        <f>IF(G80&gt;1,ROUND(SUM(F79:F79)/G80*2,3),ROUND(SUM(F79:F79),3))</f>
        <v/>
      </c>
      <c r="G80" s="147" t="n">
        <v>1</v>
      </c>
      <c r="H80" s="148" t="n"/>
      <c r="I80" s="151">
        <f>ROUND(20-F80,3)</f>
        <v/>
      </c>
      <c r="J80" s="148" t="n"/>
      <c r="K80" s="148" t="n"/>
      <c r="L80" s="148" t="n"/>
      <c r="M80" s="147">
        <f>AVERAGE(M79:M79)</f>
        <v/>
      </c>
      <c r="N80" s="148" t="n"/>
      <c r="O80" s="148" t="n"/>
      <c r="P80" s="148" t="n"/>
      <c r="Q80" s="148" t="n"/>
      <c r="R80" s="148" t="n"/>
      <c r="S80" s="148" t="n"/>
    </row>
    <row r="81" ht="30" customHeight="1" s="76">
      <c r="A81" s="144" t="inlineStr">
        <is>
          <t>C8</t>
        </is>
      </c>
      <c r="B81" s="144" t="inlineStr">
        <is>
          <t>260803P3-162</t>
        </is>
      </c>
      <c r="C81" s="144" t="n">
        <v>48.05</v>
      </c>
      <c r="D81" s="145" t="n">
        <v>162</v>
      </c>
      <c r="E81" s="146">
        <f>ROUND(D81/SUM(D81:D81)*IF(C81="",50,50.0),3)</f>
        <v/>
      </c>
      <c r="F81" s="146">
        <f>ROUND(E81/C81*G82,3)</f>
        <v/>
      </c>
      <c r="G81" s="144" t="inlineStr">
        <is>
          <t>mRNA-T7</t>
        </is>
      </c>
      <c r="H81" s="144" t="inlineStr">
        <is>
          <t>南方医科大学南方医院</t>
        </is>
      </c>
      <c r="I81" s="146" t="n"/>
      <c r="J81" s="144" t="n"/>
      <c r="K81" s="144" t="n"/>
      <c r="L81" s="147" t="n"/>
      <c r="M81" s="147" t="n">
        <v>511</v>
      </c>
      <c r="N81" s="147" t="n">
        <v>48.05</v>
      </c>
      <c r="O81" s="147" t="inlineStr">
        <is>
          <t>合格</t>
        </is>
      </c>
      <c r="P81" s="147" t="n"/>
      <c r="Q81" s="147" t="n"/>
      <c r="R81" s="147" t="n"/>
      <c r="S81" s="147" t="n"/>
    </row>
    <row r="82" ht="30" customHeight="1" s="76">
      <c r="A82" s="148" t="n"/>
      <c r="B82" s="147" t="n">
        <v>1</v>
      </c>
      <c r="C82" s="148" t="n"/>
      <c r="D82" s="149">
        <f>ROUND(SUM(D81:D81),2)</f>
        <v/>
      </c>
      <c r="E82" s="150">
        <f>ROUND(SUM(E81:E81),3)</f>
        <v/>
      </c>
      <c r="F82" s="150">
        <f>IF(G82&gt;1,ROUND(SUM(F81:F81)/G82*2,3),ROUND(SUM(F81:F81),3))</f>
        <v/>
      </c>
      <c r="G82" s="147" t="n">
        <v>1</v>
      </c>
      <c r="H82" s="148" t="n"/>
      <c r="I82" s="151">
        <f>ROUND(20-F82,3)</f>
        <v/>
      </c>
      <c r="J82" s="148" t="n"/>
      <c r="K82" s="148" t="n"/>
      <c r="L82" s="148" t="n"/>
      <c r="M82" s="147">
        <f>AVERAGE(M81:M81)</f>
        <v/>
      </c>
      <c r="N82" s="148" t="n"/>
      <c r="O82" s="148" t="n"/>
      <c r="P82" s="148" t="n"/>
      <c r="Q82" s="148" t="n"/>
      <c r="R82" s="148" t="n"/>
      <c r="S82" s="148" t="n"/>
    </row>
    <row r="83" ht="30" customHeight="1" s="76">
      <c r="A83" s="155" t="inlineStr">
        <is>
          <t>C9</t>
        </is>
      </c>
      <c r="B83" s="144" t="inlineStr">
        <is>
          <t>HGC-Lib-26097518</t>
        </is>
      </c>
      <c r="C83" s="144" t="n">
        <v>12.82</v>
      </c>
      <c r="D83" s="145" t="n">
        <v>2</v>
      </c>
      <c r="E83" s="146">
        <f>ROUND(D83/SUM(D83:D89)*IF(C83="",50,300.0),3)</f>
        <v/>
      </c>
      <c r="F83" s="146">
        <f>ROUND(E83/C83*G90,3)</f>
        <v/>
      </c>
      <c r="G83" s="144" t="inlineStr">
        <is>
          <t>华大-C4-oligo</t>
        </is>
      </c>
      <c r="H83" s="144" t="inlineStr">
        <is>
          <t>广州奥智生物科技有限公司</t>
        </is>
      </c>
      <c r="I83" s="146" t="n"/>
      <c r="J83" s="144" t="n"/>
      <c r="K83" s="144" t="n"/>
      <c r="L83" s="147" t="n"/>
      <c r="M83" s="147" t="n"/>
      <c r="N83" s="147" t="n">
        <v>12.82</v>
      </c>
      <c r="O83" s="147" t="inlineStr">
        <is>
          <t>华大单barcode文库</t>
        </is>
      </c>
      <c r="P83" s="147" t="inlineStr">
        <is>
          <t>已磷酸化</t>
        </is>
      </c>
      <c r="Q83" s="147" t="inlineStr">
        <is>
          <t>未环化</t>
        </is>
      </c>
      <c r="R83" s="147" t="inlineStr">
        <is>
          <t>B</t>
        </is>
      </c>
      <c r="S83" s="147" t="inlineStr">
        <is>
          <t>E</t>
        </is>
      </c>
    </row>
    <row r="84" ht="30" customHeight="1" s="76">
      <c r="A84" s="152" t="n"/>
      <c r="B84" s="144" t="inlineStr">
        <is>
          <t>HGC-Lib-26097520</t>
        </is>
      </c>
      <c r="C84" s="144" t="n">
        <v>12.81</v>
      </c>
      <c r="D84" s="145" t="n">
        <v>2</v>
      </c>
      <c r="E84" s="146">
        <f>ROUND(D84/SUM(D83:D89)*IF(C84="",50,300.0),3)</f>
        <v/>
      </c>
      <c r="F84" s="146">
        <f>ROUND(E84/C84*G90,3)</f>
        <v/>
      </c>
      <c r="G84" s="144" t="inlineStr">
        <is>
          <t>华大-C4-oligo</t>
        </is>
      </c>
      <c r="H84" s="144" t="inlineStr">
        <is>
          <t>广州奥智生物科技有限公司</t>
        </is>
      </c>
      <c r="I84" s="146" t="n"/>
      <c r="J84" s="144" t="n"/>
      <c r="K84" s="144" t="n"/>
      <c r="L84" s="147" t="n"/>
      <c r="M84" s="147" t="n"/>
      <c r="N84" s="147" t="n">
        <v>12.81</v>
      </c>
      <c r="O84" s="147" t="inlineStr">
        <is>
          <t>华大单barcode文库</t>
        </is>
      </c>
      <c r="P84" s="147" t="inlineStr">
        <is>
          <t>已磷酸化</t>
        </is>
      </c>
      <c r="Q84" s="147" t="inlineStr">
        <is>
          <t>未环化</t>
        </is>
      </c>
      <c r="R84" s="147" t="inlineStr">
        <is>
          <t>B</t>
        </is>
      </c>
      <c r="S84" s="147" t="inlineStr">
        <is>
          <t>E</t>
        </is>
      </c>
    </row>
    <row r="85" ht="30" customHeight="1" s="76">
      <c r="A85" s="152" t="n"/>
      <c r="B85" s="144" t="inlineStr">
        <is>
          <t>HGC-Lib-26097522</t>
        </is>
      </c>
      <c r="C85" s="144" t="n">
        <v>11.34</v>
      </c>
      <c r="D85" s="145" t="n">
        <v>2</v>
      </c>
      <c r="E85" s="146">
        <f>ROUND(D85/SUM(D83:D89)*IF(C85="",50,300.0),3)</f>
        <v/>
      </c>
      <c r="F85" s="146">
        <f>ROUND(E85/C85*G90,3)</f>
        <v/>
      </c>
      <c r="G85" s="144" t="inlineStr">
        <is>
          <t>华大-C4-oligo</t>
        </is>
      </c>
      <c r="H85" s="144" t="inlineStr">
        <is>
          <t>广州奥智生物科技有限公司</t>
        </is>
      </c>
      <c r="I85" s="146" t="n"/>
      <c r="J85" s="144" t="n"/>
      <c r="K85" s="144" t="n"/>
      <c r="L85" s="147" t="n"/>
      <c r="M85" s="147" t="n"/>
      <c r="N85" s="147" t="n">
        <v>11.34</v>
      </c>
      <c r="O85" s="147" t="inlineStr">
        <is>
          <t>华大单barcode文库</t>
        </is>
      </c>
      <c r="P85" s="147" t="inlineStr">
        <is>
          <t>已磷酸化</t>
        </is>
      </c>
      <c r="Q85" s="147" t="inlineStr">
        <is>
          <t>未环化</t>
        </is>
      </c>
      <c r="R85" s="147" t="inlineStr">
        <is>
          <t>B</t>
        </is>
      </c>
      <c r="S85" s="147" t="inlineStr">
        <is>
          <t>E</t>
        </is>
      </c>
    </row>
    <row r="86" ht="30" customHeight="1" s="76">
      <c r="A86" s="152" t="n"/>
      <c r="B86" s="144" t="inlineStr">
        <is>
          <t>HGC-Lib-26097524</t>
        </is>
      </c>
      <c r="C86" s="144" t="n">
        <v>11.9</v>
      </c>
      <c r="D86" s="145" t="n">
        <v>2</v>
      </c>
      <c r="E86" s="146">
        <f>ROUND(D86/SUM(D83:D89)*IF(C86="",50,300.0),3)</f>
        <v/>
      </c>
      <c r="F86" s="146">
        <f>ROUND(E86/C86*G90,3)</f>
        <v/>
      </c>
      <c r="G86" s="144" t="inlineStr">
        <is>
          <t>华大-C4-oligo</t>
        </is>
      </c>
      <c r="H86" s="144" t="inlineStr">
        <is>
          <t>广州奥智生物科技有限公司</t>
        </is>
      </c>
      <c r="I86" s="146" t="n"/>
      <c r="J86" s="144" t="n"/>
      <c r="K86" s="144" t="n"/>
      <c r="L86" s="147" t="n"/>
      <c r="M86" s="147" t="n"/>
      <c r="N86" s="147" t="n">
        <v>11.9</v>
      </c>
      <c r="O86" s="147" t="inlineStr">
        <is>
          <t>华大单barcode文库</t>
        </is>
      </c>
      <c r="P86" s="147" t="inlineStr">
        <is>
          <t>已磷酸化</t>
        </is>
      </c>
      <c r="Q86" s="147" t="inlineStr">
        <is>
          <t>未环化</t>
        </is>
      </c>
      <c r="R86" s="147" t="inlineStr">
        <is>
          <t>B</t>
        </is>
      </c>
      <c r="S86" s="147" t="inlineStr">
        <is>
          <t>E</t>
        </is>
      </c>
    </row>
    <row r="87" ht="30" customHeight="1" s="76">
      <c r="A87" s="152" t="n"/>
      <c r="B87" s="144" t="inlineStr">
        <is>
          <t>HGC-Lib-26097528</t>
        </is>
      </c>
      <c r="C87" s="144" t="n">
        <v>12.5</v>
      </c>
      <c r="D87" s="145" t="n">
        <v>2</v>
      </c>
      <c r="E87" s="146">
        <f>ROUND(D87/SUM(D83:D89)*IF(C87="",50,300.0),3)</f>
        <v/>
      </c>
      <c r="F87" s="146">
        <f>ROUND(E87/C87*G90,3)</f>
        <v/>
      </c>
      <c r="G87" s="144" t="inlineStr">
        <is>
          <t>华大-C4-oligo</t>
        </is>
      </c>
      <c r="H87" s="144" t="inlineStr">
        <is>
          <t>广州奥智生物科技有限公司</t>
        </is>
      </c>
      <c r="I87" s="146" t="n"/>
      <c r="J87" s="144" t="n"/>
      <c r="K87" s="144" t="n"/>
      <c r="L87" s="147" t="n"/>
      <c r="M87" s="147" t="n"/>
      <c r="N87" s="147" t="n">
        <v>12.5</v>
      </c>
      <c r="O87" s="147" t="inlineStr">
        <is>
          <t>华大单barcode文库</t>
        </is>
      </c>
      <c r="P87" s="147" t="inlineStr">
        <is>
          <t>已磷酸化</t>
        </is>
      </c>
      <c r="Q87" s="147" t="inlineStr">
        <is>
          <t>未环化</t>
        </is>
      </c>
      <c r="R87" s="147" t="inlineStr">
        <is>
          <t>B</t>
        </is>
      </c>
      <c r="S87" s="147" t="inlineStr">
        <is>
          <t>E</t>
        </is>
      </c>
    </row>
    <row r="88" ht="30" customHeight="1" s="76">
      <c r="A88" s="152" t="n"/>
      <c r="B88" s="144" t="inlineStr">
        <is>
          <t>HGC-Lib-26097538</t>
        </is>
      </c>
      <c r="C88" s="144" t="n">
        <v>12.56</v>
      </c>
      <c r="D88" s="145" t="n">
        <v>2</v>
      </c>
      <c r="E88" s="146">
        <f>ROUND(D88/SUM(D83:D89)*IF(C88="",50,300.0),3)</f>
        <v/>
      </c>
      <c r="F88" s="146">
        <f>ROUND(E88/C88*G90,3)</f>
        <v/>
      </c>
      <c r="G88" s="144" t="inlineStr">
        <is>
          <t>华大-C4-oligo</t>
        </is>
      </c>
      <c r="H88" s="144" t="inlineStr">
        <is>
          <t>广州奥智生物科技有限公司</t>
        </is>
      </c>
      <c r="I88" s="146" t="n"/>
      <c r="J88" s="144" t="n"/>
      <c r="K88" s="144" t="n"/>
      <c r="L88" s="147" t="n"/>
      <c r="M88" s="147" t="n"/>
      <c r="N88" s="147" t="n">
        <v>12.56</v>
      </c>
      <c r="O88" s="147" t="inlineStr">
        <is>
          <t>华大单barcode文库</t>
        </is>
      </c>
      <c r="P88" s="147" t="inlineStr">
        <is>
          <t>已磷酸化</t>
        </is>
      </c>
      <c r="Q88" s="147" t="inlineStr">
        <is>
          <t>未环化</t>
        </is>
      </c>
      <c r="R88" s="147" t="inlineStr">
        <is>
          <t>B</t>
        </is>
      </c>
      <c r="S88" s="147" t="inlineStr">
        <is>
          <t>E</t>
        </is>
      </c>
    </row>
    <row r="89" ht="30" customHeight="1" s="76">
      <c r="A89" s="153" t="n"/>
      <c r="B89" s="144" t="inlineStr">
        <is>
          <t>HGC-Lib-26097553</t>
        </is>
      </c>
      <c r="C89" s="144" t="n">
        <v>6.36</v>
      </c>
      <c r="D89" s="145" t="n">
        <v>2</v>
      </c>
      <c r="E89" s="146">
        <f>ROUND(D89/SUM(D83:D89)*IF(C89="",50,300.0),3)</f>
        <v/>
      </c>
      <c r="F89" s="146">
        <f>ROUND(E89/C89*G90,3)</f>
        <v/>
      </c>
      <c r="G89" s="144" t="inlineStr">
        <is>
          <t>华大-C4-oligo</t>
        </is>
      </c>
      <c r="H89" s="144" t="inlineStr">
        <is>
          <t>广州奥智生物科技有限公司</t>
        </is>
      </c>
      <c r="I89" s="146" t="n"/>
      <c r="J89" s="144" t="n"/>
      <c r="K89" s="144" t="n"/>
      <c r="L89" s="147" t="n"/>
      <c r="M89" s="147" t="n"/>
      <c r="N89" s="147" t="n">
        <v>6.36</v>
      </c>
      <c r="O89" s="147" t="inlineStr">
        <is>
          <t>华大单barcode文库</t>
        </is>
      </c>
      <c r="P89" s="147" t="inlineStr">
        <is>
          <t>已磷酸化</t>
        </is>
      </c>
      <c r="Q89" s="147" t="inlineStr">
        <is>
          <t>未环化</t>
        </is>
      </c>
      <c r="R89" s="147" t="inlineStr">
        <is>
          <t>B</t>
        </is>
      </c>
      <c r="S89" s="147" t="inlineStr">
        <is>
          <t>AE</t>
        </is>
      </c>
    </row>
    <row r="90" ht="30" customHeight="1" s="76">
      <c r="A90" s="148" t="n"/>
      <c r="B90" s="147" t="n">
        <v>7</v>
      </c>
      <c r="C90" s="148" t="n"/>
      <c r="D90" s="149">
        <f>ROUND(SUM(D83:D89),2)</f>
        <v/>
      </c>
      <c r="E90" s="150">
        <f>ROUND(SUM(E83:E89),3)</f>
        <v/>
      </c>
      <c r="F90" s="150">
        <f>IF(G90&gt;1,ROUND(SUM(F83:F89)/G90*2,3),ROUND(SUM(F83:F89),3))</f>
        <v/>
      </c>
      <c r="G90" s="147" t="n">
        <v>1</v>
      </c>
      <c r="H90" s="148" t="n"/>
      <c r="I90" s="151">
        <f>ROUND(40-F90,3)</f>
        <v/>
      </c>
      <c r="J90" s="148" t="n"/>
      <c r="K90" s="148" t="n"/>
      <c r="L90" s="148" t="n"/>
      <c r="M90" s="147">
        <f>AVERAGE(M83:M89)</f>
        <v/>
      </c>
      <c r="N90" s="148" t="n"/>
      <c r="O90" s="148" t="n"/>
      <c r="P90" s="148" t="n"/>
      <c r="Q90" s="148" t="n"/>
      <c r="R90" s="148" t="n"/>
      <c r="S90" s="148" t="n"/>
    </row>
    <row r="91" ht="30" customHeight="1" s="76">
      <c r="A91" s="155" t="inlineStr">
        <is>
          <t>C10</t>
        </is>
      </c>
      <c r="B91" s="144" t="inlineStr">
        <is>
          <t>HGC-Lib-26095807</t>
        </is>
      </c>
      <c r="C91" s="144" t="n">
        <v>13.46</v>
      </c>
      <c r="D91" s="145" t="n">
        <v>88</v>
      </c>
      <c r="E91" s="146">
        <f>ROUND(D91/SUM(D91:D100)*IF(C91="",50,300.0),3)</f>
        <v/>
      </c>
      <c r="F91" s="146">
        <f>ROUND(E91/C91*G101,3)</f>
        <v/>
      </c>
      <c r="G91" s="144" t="inlineStr">
        <is>
          <t>华大-C4-转录组</t>
        </is>
      </c>
      <c r="H91" s="144" t="inlineStr">
        <is>
          <t>广州奥智生物科技有限公司</t>
        </is>
      </c>
      <c r="I91" s="146" t="n"/>
      <c r="J91" s="144" t="n"/>
      <c r="K91" s="144" t="n"/>
      <c r="L91" s="147" t="n"/>
      <c r="M91" s="147" t="n"/>
      <c r="N91" s="147" t="n">
        <v>13.46</v>
      </c>
      <c r="O91" s="147" t="inlineStr">
        <is>
          <t>华大单barcode文库</t>
        </is>
      </c>
      <c r="P91" s="147" t="inlineStr">
        <is>
          <t>已磷酸化</t>
        </is>
      </c>
      <c r="Q91" s="147" t="inlineStr">
        <is>
          <t>未环化</t>
        </is>
      </c>
      <c r="R91" s="147" t="inlineStr">
        <is>
          <t>B</t>
        </is>
      </c>
      <c r="S91" s="147" t="inlineStr">
        <is>
          <t>E</t>
        </is>
      </c>
    </row>
    <row r="92" ht="30" customHeight="1" s="76">
      <c r="A92" s="152" t="n"/>
      <c r="B92" s="144" t="inlineStr">
        <is>
          <t>HGC-Lib-26097507</t>
        </is>
      </c>
      <c r="C92" s="144" t="n">
        <v>12.82</v>
      </c>
      <c r="D92" s="145" t="n">
        <v>88</v>
      </c>
      <c r="E92" s="146">
        <f>ROUND(D92/SUM(D91:D100)*IF(C92="",50,300.0),3)</f>
        <v/>
      </c>
      <c r="F92" s="146">
        <f>ROUND(E92/C92*G101,3)</f>
        <v/>
      </c>
      <c r="G92" s="144" t="inlineStr">
        <is>
          <t>华大-C4-转录组</t>
        </is>
      </c>
      <c r="H92" s="144" t="inlineStr">
        <is>
          <t>广州奥智生物科技有限公司</t>
        </is>
      </c>
      <c r="I92" s="146" t="n"/>
      <c r="J92" s="144" t="n"/>
      <c r="K92" s="144" t="n"/>
      <c r="L92" s="147" t="n"/>
      <c r="M92" s="147" t="n"/>
      <c r="N92" s="147" t="n">
        <v>12.82</v>
      </c>
      <c r="O92" s="147" t="inlineStr">
        <is>
          <t>华大单barcode文库</t>
        </is>
      </c>
      <c r="P92" s="147" t="inlineStr">
        <is>
          <t>已磷酸化</t>
        </is>
      </c>
      <c r="Q92" s="147" t="inlineStr">
        <is>
          <t>未环化</t>
        </is>
      </c>
      <c r="R92" s="147" t="inlineStr">
        <is>
          <t>B</t>
        </is>
      </c>
      <c r="S92" s="147" t="inlineStr">
        <is>
          <t>E</t>
        </is>
      </c>
    </row>
    <row r="93" ht="30" customHeight="1" s="76">
      <c r="A93" s="152" t="n"/>
      <c r="B93" s="144" t="inlineStr">
        <is>
          <t>HGC-Lib-26097510</t>
        </is>
      </c>
      <c r="C93" s="144" t="n">
        <v>17.38</v>
      </c>
      <c r="D93" s="145" t="n">
        <v>88</v>
      </c>
      <c r="E93" s="146">
        <f>ROUND(D93/SUM(D91:D100)*IF(C93="",50,300.0),3)</f>
        <v/>
      </c>
      <c r="F93" s="146">
        <f>ROUND(E93/C93*G101,3)</f>
        <v/>
      </c>
      <c r="G93" s="144" t="inlineStr">
        <is>
          <t>华大-C4-转录组</t>
        </is>
      </c>
      <c r="H93" s="144" t="inlineStr">
        <is>
          <t>广州奥智生物科技有限公司</t>
        </is>
      </c>
      <c r="I93" s="146" t="n"/>
      <c r="J93" s="144" t="n"/>
      <c r="K93" s="144" t="n"/>
      <c r="L93" s="147" t="n"/>
      <c r="M93" s="147" t="n"/>
      <c r="N93" s="147" t="n">
        <v>17.38</v>
      </c>
      <c r="O93" s="147" t="inlineStr">
        <is>
          <t>华大单barcode文库</t>
        </is>
      </c>
      <c r="P93" s="147" t="inlineStr">
        <is>
          <t>已磷酸化</t>
        </is>
      </c>
      <c r="Q93" s="147" t="inlineStr">
        <is>
          <t>未环化</t>
        </is>
      </c>
      <c r="R93" s="147" t="inlineStr">
        <is>
          <t>B</t>
        </is>
      </c>
      <c r="S93" s="147" t="inlineStr">
        <is>
          <t>E</t>
        </is>
      </c>
    </row>
    <row r="94" ht="30" customHeight="1" s="76">
      <c r="A94" s="152" t="n"/>
      <c r="B94" s="144" t="inlineStr">
        <is>
          <t>HGC-Lib-26097515</t>
        </is>
      </c>
      <c r="C94" s="144" t="n">
        <v>17.68</v>
      </c>
      <c r="D94" s="145" t="n">
        <v>106</v>
      </c>
      <c r="E94" s="146">
        <f>ROUND(D94/SUM(D91:D100)*IF(C94="",50,300.0),3)</f>
        <v/>
      </c>
      <c r="F94" s="146">
        <f>ROUND(E94/C94*G101,3)</f>
        <v/>
      </c>
      <c r="G94" s="144" t="inlineStr">
        <is>
          <t>华大-C4-转录组</t>
        </is>
      </c>
      <c r="H94" s="144" t="inlineStr">
        <is>
          <t>广州奥智生物科技有限公司</t>
        </is>
      </c>
      <c r="I94" s="146" t="n"/>
      <c r="J94" s="144" t="n"/>
      <c r="K94" s="144" t="n"/>
      <c r="L94" s="147" t="n"/>
      <c r="M94" s="147" t="n"/>
      <c r="N94" s="147" t="n">
        <v>17.68</v>
      </c>
      <c r="O94" s="147" t="inlineStr">
        <is>
          <t>华大单barcode文库</t>
        </is>
      </c>
      <c r="P94" s="147" t="inlineStr">
        <is>
          <t>已磷酸化</t>
        </is>
      </c>
      <c r="Q94" s="147" t="inlineStr">
        <is>
          <t>未环化</t>
        </is>
      </c>
      <c r="R94" s="147" t="inlineStr">
        <is>
          <t>B</t>
        </is>
      </c>
      <c r="S94" s="147" t="inlineStr">
        <is>
          <t>E</t>
        </is>
      </c>
    </row>
    <row r="95" ht="30" customHeight="1" s="76">
      <c r="A95" s="152" t="n"/>
      <c r="B95" s="144" t="inlineStr">
        <is>
          <t>HGC-Lib-26097516</t>
        </is>
      </c>
      <c r="C95" s="144" t="n">
        <v>17.48</v>
      </c>
      <c r="D95" s="145" t="n">
        <v>106</v>
      </c>
      <c r="E95" s="146">
        <f>ROUND(D95/SUM(D91:D100)*IF(C95="",50,300.0),3)</f>
        <v/>
      </c>
      <c r="F95" s="146">
        <f>ROUND(E95/C95*G101,3)</f>
        <v/>
      </c>
      <c r="G95" s="144" t="inlineStr">
        <is>
          <t>华大-C4-转录组</t>
        </is>
      </c>
      <c r="H95" s="144" t="inlineStr">
        <is>
          <t>广州奥智生物科技有限公司</t>
        </is>
      </c>
      <c r="I95" s="146" t="n"/>
      <c r="J95" s="144" t="n"/>
      <c r="K95" s="144" t="n"/>
      <c r="L95" s="147" t="n"/>
      <c r="M95" s="147" t="n"/>
      <c r="N95" s="147" t="n">
        <v>17.48</v>
      </c>
      <c r="O95" s="147" t="inlineStr">
        <is>
          <t>华大单barcode文库</t>
        </is>
      </c>
      <c r="P95" s="147" t="inlineStr">
        <is>
          <t>已磷酸化</t>
        </is>
      </c>
      <c r="Q95" s="147" t="inlineStr">
        <is>
          <t>未环化</t>
        </is>
      </c>
      <c r="R95" s="147" t="inlineStr">
        <is>
          <t>B</t>
        </is>
      </c>
      <c r="S95" s="147" t="inlineStr">
        <is>
          <t>E</t>
        </is>
      </c>
    </row>
    <row r="96" ht="30" customHeight="1" s="76">
      <c r="A96" s="152" t="n"/>
      <c r="B96" s="144" t="inlineStr">
        <is>
          <t>HGC-Lib-26097517</t>
        </is>
      </c>
      <c r="C96" s="144" t="n">
        <v>29.61</v>
      </c>
      <c r="D96" s="145" t="n">
        <v>88</v>
      </c>
      <c r="E96" s="146">
        <f>ROUND(D96/SUM(D91:D100)*IF(C96="",50,300.0),3)</f>
        <v/>
      </c>
      <c r="F96" s="146">
        <f>ROUND(E96/C96*G101,3)</f>
        <v/>
      </c>
      <c r="G96" s="144" t="inlineStr">
        <is>
          <t>华大-C4-转录组</t>
        </is>
      </c>
      <c r="H96" s="144" t="inlineStr">
        <is>
          <t>广州奥智生物科技有限公司</t>
        </is>
      </c>
      <c r="I96" s="146" t="n"/>
      <c r="J96" s="144" t="n"/>
      <c r="K96" s="144" t="n"/>
      <c r="L96" s="147" t="n"/>
      <c r="M96" s="147" t="n"/>
      <c r="N96" s="147" t="n">
        <v>29.61</v>
      </c>
      <c r="O96" s="147" t="inlineStr">
        <is>
          <t>华大单barcode文库</t>
        </is>
      </c>
      <c r="P96" s="147" t="inlineStr">
        <is>
          <t>已磷酸化</t>
        </is>
      </c>
      <c r="Q96" s="147" t="inlineStr">
        <is>
          <t>未环化</t>
        </is>
      </c>
      <c r="R96" s="147" t="inlineStr">
        <is>
          <t>A</t>
        </is>
      </c>
      <c r="S96" s="147" t="n"/>
    </row>
    <row r="97" ht="30" customHeight="1" s="76">
      <c r="A97" s="152" t="n"/>
      <c r="B97" s="144" t="inlineStr">
        <is>
          <t>HGC-Lib-26097519</t>
        </is>
      </c>
      <c r="C97" s="144" t="n">
        <v>26.75</v>
      </c>
      <c r="D97" s="145" t="n">
        <v>88</v>
      </c>
      <c r="E97" s="146">
        <f>ROUND(D97/SUM(D91:D100)*IF(C97="",50,300.0),3)</f>
        <v/>
      </c>
      <c r="F97" s="146">
        <f>ROUND(E97/C97*G101,3)</f>
        <v/>
      </c>
      <c r="G97" s="144" t="inlineStr">
        <is>
          <t>华大-C4-转录组</t>
        </is>
      </c>
      <c r="H97" s="144" t="inlineStr">
        <is>
          <t>广州奥智生物科技有限公司</t>
        </is>
      </c>
      <c r="I97" s="146" t="n"/>
      <c r="J97" s="144" t="n"/>
      <c r="K97" s="144" t="n"/>
      <c r="L97" s="147" t="n"/>
      <c r="M97" s="147" t="n"/>
      <c r="N97" s="147" t="n">
        <v>26.75</v>
      </c>
      <c r="O97" s="147" t="inlineStr">
        <is>
          <t>华大单barcode文库</t>
        </is>
      </c>
      <c r="P97" s="147" t="inlineStr">
        <is>
          <t>已磷酸化</t>
        </is>
      </c>
      <c r="Q97" s="147" t="inlineStr">
        <is>
          <t>未环化</t>
        </is>
      </c>
      <c r="R97" s="147" t="inlineStr">
        <is>
          <t>A</t>
        </is>
      </c>
      <c r="S97" s="147" t="n"/>
    </row>
    <row r="98" ht="30" customHeight="1" s="76">
      <c r="A98" s="152" t="n"/>
      <c r="B98" s="144" t="inlineStr">
        <is>
          <t>HGC-Lib-26097521</t>
        </is>
      </c>
      <c r="C98" s="144" t="n">
        <v>29.74</v>
      </c>
      <c r="D98" s="145" t="n">
        <v>88</v>
      </c>
      <c r="E98" s="146">
        <f>ROUND(D98/SUM(D91:D100)*IF(C98="",50,300.0),3)</f>
        <v/>
      </c>
      <c r="F98" s="146">
        <f>ROUND(E98/C98*G101,3)</f>
        <v/>
      </c>
      <c r="G98" s="144" t="inlineStr">
        <is>
          <t>华大-C4-转录组</t>
        </is>
      </c>
      <c r="H98" s="144" t="inlineStr">
        <is>
          <t>广州奥智生物科技有限公司</t>
        </is>
      </c>
      <c r="I98" s="146" t="n"/>
      <c r="J98" s="144" t="n"/>
      <c r="K98" s="144" t="n"/>
      <c r="L98" s="147" t="n"/>
      <c r="M98" s="147" t="n"/>
      <c r="N98" s="147" t="n">
        <v>29.74</v>
      </c>
      <c r="O98" s="147" t="inlineStr">
        <is>
          <t>华大单barcode文库</t>
        </is>
      </c>
      <c r="P98" s="147" t="inlineStr">
        <is>
          <t>已磷酸化</t>
        </is>
      </c>
      <c r="Q98" s="147" t="inlineStr">
        <is>
          <t>未环化</t>
        </is>
      </c>
      <c r="R98" s="147" t="inlineStr">
        <is>
          <t>A</t>
        </is>
      </c>
      <c r="S98" s="147" t="n"/>
    </row>
    <row r="99" ht="30" customHeight="1" s="76">
      <c r="A99" s="152" t="n"/>
      <c r="B99" s="144" t="inlineStr">
        <is>
          <t>HGC-Lib-26097523</t>
        </is>
      </c>
      <c r="C99" s="144" t="n">
        <v>28.83</v>
      </c>
      <c r="D99" s="145" t="n">
        <v>88</v>
      </c>
      <c r="E99" s="146">
        <f>ROUND(D99/SUM(D91:D100)*IF(C99="",50,300.0),3)</f>
        <v/>
      </c>
      <c r="F99" s="146">
        <f>ROUND(E99/C99*G101,3)</f>
        <v/>
      </c>
      <c r="G99" s="144" t="inlineStr">
        <is>
          <t>华大-C4-转录组</t>
        </is>
      </c>
      <c r="H99" s="144" t="inlineStr">
        <is>
          <t>广州奥智生物科技有限公司</t>
        </is>
      </c>
      <c r="I99" s="146" t="n"/>
      <c r="J99" s="144" t="n"/>
      <c r="K99" s="144" t="n"/>
      <c r="L99" s="147" t="n"/>
      <c r="M99" s="147" t="n"/>
      <c r="N99" s="147" t="n">
        <v>28.83</v>
      </c>
      <c r="O99" s="147" t="inlineStr">
        <is>
          <t>华大单barcode文库</t>
        </is>
      </c>
      <c r="P99" s="147" t="inlineStr">
        <is>
          <t>已磷酸化</t>
        </is>
      </c>
      <c r="Q99" s="147" t="inlineStr">
        <is>
          <t>未环化</t>
        </is>
      </c>
      <c r="R99" s="147" t="inlineStr">
        <is>
          <t>A</t>
        </is>
      </c>
      <c r="S99" s="147" t="n"/>
    </row>
    <row r="100" ht="30" customHeight="1" s="76">
      <c r="A100" s="153" t="n"/>
      <c r="B100" s="144" t="inlineStr">
        <is>
          <t>HGC-Lib-26097537</t>
        </is>
      </c>
      <c r="C100" s="144" t="n">
        <v>21.97</v>
      </c>
      <c r="D100" s="145" t="n">
        <v>88</v>
      </c>
      <c r="E100" s="146">
        <f>ROUND(D100/SUM(D91:D100)*IF(C100="",50,300.0),3)</f>
        <v/>
      </c>
      <c r="F100" s="146">
        <f>ROUND(E100/C100*G101,3)</f>
        <v/>
      </c>
      <c r="G100" s="144" t="inlineStr">
        <is>
          <t>华大-C4-转录组</t>
        </is>
      </c>
      <c r="H100" s="144" t="inlineStr">
        <is>
          <t>广州奥智生物科技有限公司</t>
        </is>
      </c>
      <c r="I100" s="146" t="n"/>
      <c r="J100" s="144" t="n"/>
      <c r="K100" s="144" t="n"/>
      <c r="L100" s="147" t="n"/>
      <c r="M100" s="147" t="n"/>
      <c r="N100" s="147" t="n">
        <v>21.97</v>
      </c>
      <c r="O100" s="147" t="inlineStr">
        <is>
          <t>华大单barcode文库</t>
        </is>
      </c>
      <c r="P100" s="147" t="inlineStr">
        <is>
          <t>已磷酸化</t>
        </is>
      </c>
      <c r="Q100" s="147" t="inlineStr">
        <is>
          <t>未环化</t>
        </is>
      </c>
      <c r="R100" s="147" t="inlineStr">
        <is>
          <t>A</t>
        </is>
      </c>
      <c r="S100" s="147" t="n"/>
    </row>
    <row r="101" ht="30" customHeight="1" s="76">
      <c r="A101" s="148" t="n"/>
      <c r="B101" s="147" t="n">
        <v>10</v>
      </c>
      <c r="C101" s="148" t="n"/>
      <c r="D101" s="149">
        <f>ROUND(SUM(D91:D100),2)</f>
        <v/>
      </c>
      <c r="E101" s="150">
        <f>ROUND(SUM(E91:E100),3)</f>
        <v/>
      </c>
      <c r="F101" s="150">
        <f>IF(G101&gt;1,ROUND(SUM(F91:F100)/G101*2,3),ROUND(SUM(F91:F100),3))</f>
        <v/>
      </c>
      <c r="G101" s="147" t="n">
        <v>1</v>
      </c>
      <c r="H101" s="148" t="n"/>
      <c r="I101" s="151">
        <f>ROUND(40-F101,3)</f>
        <v/>
      </c>
      <c r="J101" s="148" t="n"/>
      <c r="K101" s="148" t="n"/>
      <c r="L101" s="148" t="n"/>
      <c r="M101" s="147">
        <f>AVERAGE(M91:M100)</f>
        <v/>
      </c>
      <c r="N101" s="148" t="n"/>
      <c r="O101" s="148" t="n"/>
      <c r="P101" s="148" t="n"/>
      <c r="Q101" s="148" t="n"/>
      <c r="R101" s="148" t="n"/>
      <c r="S101" s="148" t="n"/>
    </row>
    <row r="102" ht="30" customHeight="1" s="76">
      <c r="A102" s="155" t="inlineStr">
        <is>
          <t>C11</t>
        </is>
      </c>
      <c r="B102" s="144" t="inlineStr">
        <is>
          <t>HGC-Lib-26097540</t>
        </is>
      </c>
      <c r="C102" s="144" t="n">
        <v>12.92</v>
      </c>
      <c r="D102" s="145" t="n">
        <v>88</v>
      </c>
      <c r="E102" s="146">
        <f>ROUND(D102/SUM(D102:D107)*IF(C102="",50,300.0),3)</f>
        <v/>
      </c>
      <c r="F102" s="146">
        <f>ROUND(E102/C102*G108,3)</f>
        <v/>
      </c>
      <c r="G102" s="144" t="inlineStr">
        <is>
          <t>华大-C4-转录组</t>
        </is>
      </c>
      <c r="H102" s="144" t="inlineStr">
        <is>
          <t>广州奥智生物科技有限公司</t>
        </is>
      </c>
      <c r="I102" s="146" t="n"/>
      <c r="J102" s="144" t="n"/>
      <c r="K102" s="144" t="n"/>
      <c r="L102" s="147" t="n"/>
      <c r="M102" s="147" t="n"/>
      <c r="N102" s="147" t="n">
        <v>12.92</v>
      </c>
      <c r="O102" s="147" t="inlineStr">
        <is>
          <t>华大单barcode文库</t>
        </is>
      </c>
      <c r="P102" s="147" t="inlineStr">
        <is>
          <t>已磷酸化</t>
        </is>
      </c>
      <c r="Q102" s="147" t="inlineStr">
        <is>
          <t>未环化</t>
        </is>
      </c>
      <c r="R102" s="147" t="inlineStr">
        <is>
          <t>B</t>
        </is>
      </c>
      <c r="S102" s="147" t="inlineStr">
        <is>
          <t>E</t>
        </is>
      </c>
    </row>
    <row r="103" ht="30" customHeight="1" s="76">
      <c r="A103" s="152" t="n"/>
      <c r="B103" s="144" t="inlineStr">
        <is>
          <t>HGC-Lib-26097541</t>
        </is>
      </c>
      <c r="C103" s="144" t="n">
        <v>12.27</v>
      </c>
      <c r="D103" s="145" t="n">
        <v>88</v>
      </c>
      <c r="E103" s="146">
        <f>ROUND(D103/SUM(D102:D107)*IF(C103="",50,300.0),3)</f>
        <v/>
      </c>
      <c r="F103" s="146">
        <f>ROUND(E103/C103*G108,3)</f>
        <v/>
      </c>
      <c r="G103" s="144" t="inlineStr">
        <is>
          <t>华大-C4-转录组</t>
        </is>
      </c>
      <c r="H103" s="144" t="inlineStr">
        <is>
          <t>广州奥智生物科技有限公司</t>
        </is>
      </c>
      <c r="I103" s="146" t="n"/>
      <c r="J103" s="144" t="n"/>
      <c r="K103" s="144" t="n"/>
      <c r="L103" s="147" t="n"/>
      <c r="M103" s="147" t="n"/>
      <c r="N103" s="147" t="n">
        <v>12.27</v>
      </c>
      <c r="O103" s="147" t="inlineStr">
        <is>
          <t>华大单barcode文库</t>
        </is>
      </c>
      <c r="P103" s="147" t="inlineStr">
        <is>
          <t>已磷酸化</t>
        </is>
      </c>
      <c r="Q103" s="147" t="inlineStr">
        <is>
          <t>未环化</t>
        </is>
      </c>
      <c r="R103" s="147" t="inlineStr">
        <is>
          <t>B</t>
        </is>
      </c>
      <c r="S103" s="147" t="inlineStr">
        <is>
          <t>E</t>
        </is>
      </c>
    </row>
    <row r="104" ht="30" customHeight="1" s="76">
      <c r="A104" s="152" t="n"/>
      <c r="B104" s="144" t="inlineStr">
        <is>
          <t>HGC-Lib-26097542</t>
        </is>
      </c>
      <c r="C104" s="144" t="n">
        <v>13.23</v>
      </c>
      <c r="D104" s="145" t="n">
        <v>88</v>
      </c>
      <c r="E104" s="146">
        <f>ROUND(D104/SUM(D102:D107)*IF(C104="",50,300.0),3)</f>
        <v/>
      </c>
      <c r="F104" s="146">
        <f>ROUND(E104/C104*G108,3)</f>
        <v/>
      </c>
      <c r="G104" s="144" t="inlineStr">
        <is>
          <t>华大-C4-转录组</t>
        </is>
      </c>
      <c r="H104" s="144" t="inlineStr">
        <is>
          <t>广州奥智生物科技有限公司</t>
        </is>
      </c>
      <c r="I104" s="146" t="n"/>
      <c r="J104" s="144" t="n"/>
      <c r="K104" s="144" t="n"/>
      <c r="L104" s="147" t="n"/>
      <c r="M104" s="147" t="n"/>
      <c r="N104" s="147" t="n">
        <v>13.23</v>
      </c>
      <c r="O104" s="147" t="inlineStr">
        <is>
          <t>华大单barcode文库</t>
        </is>
      </c>
      <c r="P104" s="147" t="inlineStr">
        <is>
          <t>已磷酸化</t>
        </is>
      </c>
      <c r="Q104" s="147" t="inlineStr">
        <is>
          <t>未环化</t>
        </is>
      </c>
      <c r="R104" s="147" t="inlineStr">
        <is>
          <t>B</t>
        </is>
      </c>
      <c r="S104" s="147" t="inlineStr">
        <is>
          <t>E</t>
        </is>
      </c>
    </row>
    <row r="105" ht="30" customHeight="1" s="76">
      <c r="A105" s="152" t="n"/>
      <c r="B105" s="144" t="inlineStr">
        <is>
          <t>HGC-Lib-26097543</t>
        </is>
      </c>
      <c r="C105" s="144" t="n">
        <v>14.04</v>
      </c>
      <c r="D105" s="145" t="n">
        <v>88</v>
      </c>
      <c r="E105" s="146">
        <f>ROUND(D105/SUM(D102:D107)*IF(C105="",50,300.0),3)</f>
        <v/>
      </c>
      <c r="F105" s="146">
        <f>ROUND(E105/C105*G108,3)</f>
        <v/>
      </c>
      <c r="G105" s="144" t="inlineStr">
        <is>
          <t>华大-C4-转录组</t>
        </is>
      </c>
      <c r="H105" s="144" t="inlineStr">
        <is>
          <t>广州奥智生物科技有限公司</t>
        </is>
      </c>
      <c r="I105" s="146" t="n"/>
      <c r="J105" s="144" t="n"/>
      <c r="K105" s="144" t="n"/>
      <c r="L105" s="147" t="n"/>
      <c r="M105" s="147" t="n"/>
      <c r="N105" s="147" t="n">
        <v>14.04</v>
      </c>
      <c r="O105" s="147" t="inlineStr">
        <is>
          <t>华大单barcode文库</t>
        </is>
      </c>
      <c r="P105" s="147" t="inlineStr">
        <is>
          <t>已磷酸化</t>
        </is>
      </c>
      <c r="Q105" s="147" t="inlineStr">
        <is>
          <t>未环化</t>
        </is>
      </c>
      <c r="R105" s="147" t="inlineStr">
        <is>
          <t>B</t>
        </is>
      </c>
      <c r="S105" s="147" t="inlineStr">
        <is>
          <t>E</t>
        </is>
      </c>
    </row>
    <row r="106" ht="30" customHeight="1" s="76">
      <c r="A106" s="152" t="n"/>
      <c r="B106" s="144" t="inlineStr">
        <is>
          <t>HGC-Lib-26097544</t>
        </is>
      </c>
      <c r="C106" s="144" t="n">
        <v>15.45</v>
      </c>
      <c r="D106" s="145" t="n">
        <v>88</v>
      </c>
      <c r="E106" s="146">
        <f>ROUND(D106/SUM(D102:D107)*IF(C106="",50,300.0),3)</f>
        <v/>
      </c>
      <c r="F106" s="146">
        <f>ROUND(E106/C106*G108,3)</f>
        <v/>
      </c>
      <c r="G106" s="144" t="inlineStr">
        <is>
          <t>华大-C4-转录组</t>
        </is>
      </c>
      <c r="H106" s="144" t="inlineStr">
        <is>
          <t>广州奥智生物科技有限公司</t>
        </is>
      </c>
      <c r="I106" s="146" t="n"/>
      <c r="J106" s="144" t="n"/>
      <c r="K106" s="144" t="n"/>
      <c r="L106" s="147" t="n"/>
      <c r="M106" s="147" t="n"/>
      <c r="N106" s="147" t="n">
        <v>15.45</v>
      </c>
      <c r="O106" s="147" t="inlineStr">
        <is>
          <t>华大单barcode文库</t>
        </is>
      </c>
      <c r="P106" s="147" t="inlineStr">
        <is>
          <t>已磷酸化</t>
        </is>
      </c>
      <c r="Q106" s="147" t="inlineStr">
        <is>
          <t>未环化</t>
        </is>
      </c>
      <c r="R106" s="147" t="inlineStr">
        <is>
          <t>B</t>
        </is>
      </c>
      <c r="S106" s="147" t="inlineStr">
        <is>
          <t>E</t>
        </is>
      </c>
    </row>
    <row r="107" ht="30" customHeight="1" s="76">
      <c r="A107" s="153" t="n"/>
      <c r="B107" s="144" t="inlineStr">
        <is>
          <t>HGC-Lib-26097545</t>
        </is>
      </c>
      <c r="C107" s="144" t="n">
        <v>14</v>
      </c>
      <c r="D107" s="145" t="n">
        <v>88</v>
      </c>
      <c r="E107" s="146">
        <f>ROUND(D107/SUM(D102:D107)*IF(C107="",50,300.0),3)</f>
        <v/>
      </c>
      <c r="F107" s="146">
        <f>ROUND(E107/C107*G108,3)</f>
        <v/>
      </c>
      <c r="G107" s="144" t="inlineStr">
        <is>
          <t>华大-C4-转录组</t>
        </is>
      </c>
      <c r="H107" s="144" t="inlineStr">
        <is>
          <t>广州奥智生物科技有限公司</t>
        </is>
      </c>
      <c r="I107" s="146" t="n"/>
      <c r="J107" s="144" t="n"/>
      <c r="K107" s="144" t="n"/>
      <c r="L107" s="147" t="n"/>
      <c r="M107" s="147" t="n"/>
      <c r="N107" s="147" t="n">
        <v>14</v>
      </c>
      <c r="O107" s="147" t="inlineStr">
        <is>
          <t>华大单barcode文库</t>
        </is>
      </c>
      <c r="P107" s="147" t="inlineStr">
        <is>
          <t>已磷酸化</t>
        </is>
      </c>
      <c r="Q107" s="147" t="inlineStr">
        <is>
          <t>未环化</t>
        </is>
      </c>
      <c r="R107" s="147" t="inlineStr">
        <is>
          <t>B</t>
        </is>
      </c>
      <c r="S107" s="147" t="inlineStr">
        <is>
          <t>E</t>
        </is>
      </c>
    </row>
    <row r="108" ht="30" customHeight="1" s="76">
      <c r="A108" s="148" t="n"/>
      <c r="B108" s="147" t="n">
        <v>6</v>
      </c>
      <c r="C108" s="148" t="n"/>
      <c r="D108" s="149">
        <f>ROUND(SUM(D102:D107),2)</f>
        <v/>
      </c>
      <c r="E108" s="150">
        <f>ROUND(SUM(E102:E107),3)</f>
        <v/>
      </c>
      <c r="F108" s="150">
        <f>IF(G108&gt;1,ROUND(SUM(F102:F107)/G108*2,3),ROUND(SUM(F102:F107),3))</f>
        <v/>
      </c>
      <c r="G108" s="147" t="n">
        <v>1</v>
      </c>
      <c r="H108" s="148" t="n"/>
      <c r="I108" s="151">
        <f>ROUND(40-F108,3)</f>
        <v/>
      </c>
      <c r="J108" s="148" t="n"/>
      <c r="K108" s="148" t="n"/>
      <c r="L108" s="148" t="n"/>
      <c r="M108" s="147">
        <f>AVERAGE(M102:M107)</f>
        <v/>
      </c>
      <c r="N108" s="148" t="n"/>
      <c r="O108" s="148" t="n"/>
      <c r="P108" s="148" t="n"/>
      <c r="Q108" s="148" t="n"/>
      <c r="R108" s="148" t="n"/>
      <c r="S108" s="148" t="n"/>
    </row>
    <row r="109" ht="30" customHeight="1" s="76">
      <c r="A109" s="155" t="inlineStr">
        <is>
          <t>C12</t>
        </is>
      </c>
      <c r="B109" s="144" t="inlineStr">
        <is>
          <t>HGC-Lib-26097892</t>
        </is>
      </c>
      <c r="C109" s="144" t="n">
        <v>96.89</v>
      </c>
      <c r="D109" s="145" t="n">
        <v>10</v>
      </c>
      <c r="E109" s="146">
        <f>ROUND(D109/SUM(D109:D123)*IF(C109="",50,300.0),3)</f>
        <v/>
      </c>
      <c r="F109" s="146">
        <f>ROUND(E109/C109*G124,3)</f>
        <v/>
      </c>
      <c r="G109" s="144" t="inlineStr">
        <is>
          <t>基因组文库</t>
        </is>
      </c>
      <c r="H109" s="144" t="inlineStr">
        <is>
          <t>武汉百易汇能生物科技有限公司</t>
        </is>
      </c>
      <c r="I109" s="146" t="n"/>
      <c r="J109" s="144" t="n"/>
      <c r="K109" s="144" t="inlineStr">
        <is>
          <t>0801百易汇能-A8</t>
        </is>
      </c>
      <c r="L109" s="147" t="n"/>
      <c r="M109" s="147" t="n"/>
      <c r="N109" s="147" t="n">
        <v>96.89</v>
      </c>
      <c r="O109" s="147" t="inlineStr">
        <is>
          <t>华大双barcode文库</t>
        </is>
      </c>
      <c r="P109" s="147" t="inlineStr">
        <is>
          <t>已磷酸化</t>
        </is>
      </c>
      <c r="Q109" s="147" t="inlineStr">
        <is>
          <t>未环化</t>
        </is>
      </c>
      <c r="R109" s="147" t="inlineStr">
        <is>
          <t>A</t>
        </is>
      </c>
      <c r="S109" s="147" t="n"/>
    </row>
    <row r="110" ht="30" customHeight="1" s="76">
      <c r="A110" s="152" t="n"/>
      <c r="B110" s="144" t="inlineStr">
        <is>
          <t>HGC-Lib-26097893</t>
        </is>
      </c>
      <c r="C110" s="144" t="n">
        <v>59.45</v>
      </c>
      <c r="D110" s="145" t="n">
        <v>10</v>
      </c>
      <c r="E110" s="146">
        <f>ROUND(D110/SUM(D109:D123)*IF(C110="",50,300.0),3)</f>
        <v/>
      </c>
      <c r="F110" s="146">
        <f>ROUND(E110/C110*G124,3)</f>
        <v/>
      </c>
      <c r="G110" s="144" t="inlineStr">
        <is>
          <t>基因组文库</t>
        </is>
      </c>
      <c r="H110" s="144" t="inlineStr">
        <is>
          <t>武汉百易汇能生物科技有限公司</t>
        </is>
      </c>
      <c r="I110" s="146" t="n"/>
      <c r="J110" s="144" t="n"/>
      <c r="K110" s="144" t="inlineStr">
        <is>
          <t>0801百易汇能-B8</t>
        </is>
      </c>
      <c r="L110" s="147" t="n"/>
      <c r="M110" s="147" t="n"/>
      <c r="N110" s="147" t="n">
        <v>59.45</v>
      </c>
      <c r="O110" s="147" t="inlineStr">
        <is>
          <t>华大双barcode文库</t>
        </is>
      </c>
      <c r="P110" s="147" t="inlineStr">
        <is>
          <t>已磷酸化</t>
        </is>
      </c>
      <c r="Q110" s="147" t="inlineStr">
        <is>
          <t>未环化</t>
        </is>
      </c>
      <c r="R110" s="147" t="inlineStr">
        <is>
          <t>A</t>
        </is>
      </c>
      <c r="S110" s="147" t="n"/>
    </row>
    <row r="111" ht="30" customHeight="1" s="76">
      <c r="A111" s="152" t="n"/>
      <c r="B111" s="144" t="inlineStr">
        <is>
          <t>HGC-Lib-26097894</t>
        </is>
      </c>
      <c r="C111" s="144" t="n">
        <v>78.89</v>
      </c>
      <c r="D111" s="145" t="n">
        <v>10</v>
      </c>
      <c r="E111" s="146">
        <f>ROUND(D111/SUM(D109:D123)*IF(C111="",50,300.0),3)</f>
        <v/>
      </c>
      <c r="F111" s="146">
        <f>ROUND(E111/C111*G124,3)</f>
        <v/>
      </c>
      <c r="G111" s="144" t="inlineStr">
        <is>
          <t>基因组文库</t>
        </is>
      </c>
      <c r="H111" s="144" t="inlineStr">
        <is>
          <t>武汉百易汇能生物科技有限公司</t>
        </is>
      </c>
      <c r="I111" s="146" t="n"/>
      <c r="J111" s="144" t="n"/>
      <c r="K111" s="144" t="inlineStr">
        <is>
          <t>0801百易汇能-C8</t>
        </is>
      </c>
      <c r="L111" s="147" t="n"/>
      <c r="M111" s="147" t="n"/>
      <c r="N111" s="147" t="n">
        <v>78.89</v>
      </c>
      <c r="O111" s="147" t="inlineStr">
        <is>
          <t>华大双barcode文库</t>
        </is>
      </c>
      <c r="P111" s="147" t="inlineStr">
        <is>
          <t>已磷酸化</t>
        </is>
      </c>
      <c r="Q111" s="147" t="inlineStr">
        <is>
          <t>未环化</t>
        </is>
      </c>
      <c r="R111" s="147" t="inlineStr">
        <is>
          <t>A</t>
        </is>
      </c>
      <c r="S111" s="147" t="n"/>
    </row>
    <row r="112" ht="30" customHeight="1" s="76">
      <c r="A112" s="152" t="n"/>
      <c r="B112" s="144" t="inlineStr">
        <is>
          <t>HGC-Lib-26097895</t>
        </is>
      </c>
      <c r="C112" s="144" t="n">
        <v>64.86</v>
      </c>
      <c r="D112" s="145" t="n">
        <v>10</v>
      </c>
      <c r="E112" s="146">
        <f>ROUND(D112/SUM(D109:D123)*IF(C112="",50,300.0),3)</f>
        <v/>
      </c>
      <c r="F112" s="146">
        <f>ROUND(E112/C112*G124,3)</f>
        <v/>
      </c>
      <c r="G112" s="144" t="inlineStr">
        <is>
          <t>基因组文库</t>
        </is>
      </c>
      <c r="H112" s="144" t="inlineStr">
        <is>
          <t>武汉百易汇能生物科技有限公司</t>
        </is>
      </c>
      <c r="I112" s="146" t="n"/>
      <c r="J112" s="144" t="n"/>
      <c r="K112" s="144" t="inlineStr">
        <is>
          <t>0801百易汇能-D8</t>
        </is>
      </c>
      <c r="L112" s="147" t="n"/>
      <c r="M112" s="147" t="n"/>
      <c r="N112" s="147" t="n">
        <v>64.86</v>
      </c>
      <c r="O112" s="147" t="inlineStr">
        <is>
          <t>华大双barcode文库</t>
        </is>
      </c>
      <c r="P112" s="147" t="inlineStr">
        <is>
          <t>已磷酸化</t>
        </is>
      </c>
      <c r="Q112" s="147" t="inlineStr">
        <is>
          <t>未环化</t>
        </is>
      </c>
      <c r="R112" s="147" t="inlineStr">
        <is>
          <t>A</t>
        </is>
      </c>
      <c r="S112" s="147" t="n"/>
    </row>
    <row r="113" ht="30" customHeight="1" s="76">
      <c r="A113" s="152" t="n"/>
      <c r="B113" s="144" t="inlineStr">
        <is>
          <t>HGC-Lib-26097896</t>
        </is>
      </c>
      <c r="C113" s="144" t="n">
        <v>87.67</v>
      </c>
      <c r="D113" s="145" t="n">
        <v>10</v>
      </c>
      <c r="E113" s="146">
        <f>ROUND(D113/SUM(D109:D123)*IF(C113="",50,300.0),3)</f>
        <v/>
      </c>
      <c r="F113" s="146">
        <f>ROUND(E113/C113*G124,3)</f>
        <v/>
      </c>
      <c r="G113" s="144" t="inlineStr">
        <is>
          <t>基因组文库</t>
        </is>
      </c>
      <c r="H113" s="144" t="inlineStr">
        <is>
          <t>武汉百易汇能生物科技有限公司</t>
        </is>
      </c>
      <c r="I113" s="146" t="n"/>
      <c r="J113" s="144" t="n"/>
      <c r="K113" s="144" t="inlineStr">
        <is>
          <t>0801百易汇能-E8</t>
        </is>
      </c>
      <c r="L113" s="147" t="n"/>
      <c r="M113" s="147" t="n"/>
      <c r="N113" s="147" t="n">
        <v>87.67</v>
      </c>
      <c r="O113" s="147" t="inlineStr">
        <is>
          <t>华大双barcode文库</t>
        </is>
      </c>
      <c r="P113" s="147" t="inlineStr">
        <is>
          <t>已磷酸化</t>
        </is>
      </c>
      <c r="Q113" s="147" t="inlineStr">
        <is>
          <t>未环化</t>
        </is>
      </c>
      <c r="R113" s="147" t="inlineStr">
        <is>
          <t>A</t>
        </is>
      </c>
      <c r="S113" s="147" t="n"/>
    </row>
    <row r="114" ht="30" customHeight="1" s="76">
      <c r="A114" s="152" t="n"/>
      <c r="B114" s="144" t="inlineStr">
        <is>
          <t>HGC-Lib-26097897</t>
        </is>
      </c>
      <c r="C114" s="144" t="n">
        <v>68.36</v>
      </c>
      <c r="D114" s="145" t="n">
        <v>10</v>
      </c>
      <c r="E114" s="146">
        <f>ROUND(D114/SUM(D109:D123)*IF(C114="",50,300.0),3)</f>
        <v/>
      </c>
      <c r="F114" s="146">
        <f>ROUND(E114/C114*G124,3)</f>
        <v/>
      </c>
      <c r="G114" s="144" t="inlineStr">
        <is>
          <t>基因组文库</t>
        </is>
      </c>
      <c r="H114" s="144" t="inlineStr">
        <is>
          <t>武汉百易汇能生物科技有限公司</t>
        </is>
      </c>
      <c r="I114" s="146" t="n"/>
      <c r="J114" s="144" t="n"/>
      <c r="K114" s="144" t="inlineStr">
        <is>
          <t>0801百易汇能-F8</t>
        </is>
      </c>
      <c r="L114" s="147" t="n"/>
      <c r="M114" s="147" t="n"/>
      <c r="N114" s="147" t="n">
        <v>68.36</v>
      </c>
      <c r="O114" s="147" t="inlineStr">
        <is>
          <t>华大双barcode文库</t>
        </is>
      </c>
      <c r="P114" s="147" t="inlineStr">
        <is>
          <t>已磷酸化</t>
        </is>
      </c>
      <c r="Q114" s="147" t="inlineStr">
        <is>
          <t>未环化</t>
        </is>
      </c>
      <c r="R114" s="147" t="inlineStr">
        <is>
          <t>A</t>
        </is>
      </c>
      <c r="S114" s="147" t="n"/>
    </row>
    <row r="115" ht="30" customHeight="1" s="76">
      <c r="A115" s="152" t="n"/>
      <c r="B115" s="144" t="inlineStr">
        <is>
          <t>HGC-Lib-26097898</t>
        </is>
      </c>
      <c r="C115" s="144" t="n">
        <v>95.84</v>
      </c>
      <c r="D115" s="145" t="n">
        <v>10</v>
      </c>
      <c r="E115" s="146">
        <f>ROUND(D115/SUM(D109:D123)*IF(C115="",50,300.0),3)</f>
        <v/>
      </c>
      <c r="F115" s="146">
        <f>ROUND(E115/C115*G124,3)</f>
        <v/>
      </c>
      <c r="G115" s="144" t="inlineStr">
        <is>
          <t>基因组文库</t>
        </is>
      </c>
      <c r="H115" s="144" t="inlineStr">
        <is>
          <t>武汉百易汇能生物科技有限公司</t>
        </is>
      </c>
      <c r="I115" s="146" t="n"/>
      <c r="J115" s="144" t="n"/>
      <c r="K115" s="144" t="inlineStr">
        <is>
          <t>0801百易汇能-G8</t>
        </is>
      </c>
      <c r="L115" s="147" t="n"/>
      <c r="M115" s="147" t="n"/>
      <c r="N115" s="147" t="n">
        <v>95.84</v>
      </c>
      <c r="O115" s="147" t="inlineStr">
        <is>
          <t>华大双barcode文库</t>
        </is>
      </c>
      <c r="P115" s="147" t="inlineStr">
        <is>
          <t>已磷酸化</t>
        </is>
      </c>
      <c r="Q115" s="147" t="inlineStr">
        <is>
          <t>未环化</t>
        </is>
      </c>
      <c r="R115" s="147" t="inlineStr">
        <is>
          <t>A</t>
        </is>
      </c>
      <c r="S115" s="147" t="n"/>
    </row>
    <row r="116" ht="30" customHeight="1" s="76">
      <c r="A116" s="152" t="n"/>
      <c r="B116" s="144" t="inlineStr">
        <is>
          <t>HGC-Lib-26097899</t>
        </is>
      </c>
      <c r="C116" s="144" t="n">
        <v>76.90000000000001</v>
      </c>
      <c r="D116" s="145" t="n">
        <v>10</v>
      </c>
      <c r="E116" s="146">
        <f>ROUND(D116/SUM(D109:D123)*IF(C116="",50,300.0),3)</f>
        <v/>
      </c>
      <c r="F116" s="146">
        <f>ROUND(E116/C116*G124,3)</f>
        <v/>
      </c>
      <c r="G116" s="144" t="inlineStr">
        <is>
          <t>基因组文库</t>
        </is>
      </c>
      <c r="H116" s="144" t="inlineStr">
        <is>
          <t>武汉百易汇能生物科技有限公司</t>
        </is>
      </c>
      <c r="I116" s="146" t="n"/>
      <c r="J116" s="144" t="n"/>
      <c r="K116" s="144" t="inlineStr">
        <is>
          <t>0801百易汇能-H8</t>
        </is>
      </c>
      <c r="L116" s="147" t="n"/>
      <c r="M116" s="147" t="n"/>
      <c r="N116" s="147" t="n">
        <v>76.90000000000001</v>
      </c>
      <c r="O116" s="147" t="inlineStr">
        <is>
          <t>华大双barcode文库</t>
        </is>
      </c>
      <c r="P116" s="147" t="inlineStr">
        <is>
          <t>已磷酸化</t>
        </is>
      </c>
      <c r="Q116" s="147" t="inlineStr">
        <is>
          <t>未环化</t>
        </is>
      </c>
      <c r="R116" s="147" t="inlineStr">
        <is>
          <t>A</t>
        </is>
      </c>
      <c r="S116" s="147" t="n"/>
    </row>
    <row r="117" ht="30" customHeight="1" s="76">
      <c r="A117" s="152" t="n"/>
      <c r="B117" s="144" t="inlineStr">
        <is>
          <t>HGC-Lib-26097900</t>
        </is>
      </c>
      <c r="C117" s="144" t="n">
        <v>98.16</v>
      </c>
      <c r="D117" s="145" t="n">
        <v>10</v>
      </c>
      <c r="E117" s="146">
        <f>ROUND(D117/SUM(D109:D123)*IF(C117="",50,300.0),3)</f>
        <v/>
      </c>
      <c r="F117" s="146">
        <f>ROUND(E117/C117*G124,3)</f>
        <v/>
      </c>
      <c r="G117" s="144" t="inlineStr">
        <is>
          <t>基因组文库</t>
        </is>
      </c>
      <c r="H117" s="144" t="inlineStr">
        <is>
          <t>武汉百易汇能生物科技有限公司</t>
        </is>
      </c>
      <c r="I117" s="146" t="n"/>
      <c r="J117" s="144" t="n"/>
      <c r="K117" s="144" t="inlineStr">
        <is>
          <t>0801百易汇能-A9</t>
        </is>
      </c>
      <c r="L117" s="147" t="n"/>
      <c r="M117" s="147" t="n"/>
      <c r="N117" s="147" t="n">
        <v>98.16</v>
      </c>
      <c r="O117" s="147" t="inlineStr">
        <is>
          <t>华大双barcode文库</t>
        </is>
      </c>
      <c r="P117" s="147" t="inlineStr">
        <is>
          <t>已磷酸化</t>
        </is>
      </c>
      <c r="Q117" s="147" t="inlineStr">
        <is>
          <t>未环化</t>
        </is>
      </c>
      <c r="R117" s="147" t="inlineStr">
        <is>
          <t>A</t>
        </is>
      </c>
      <c r="S117" s="147" t="n"/>
    </row>
    <row r="118" ht="30" customHeight="1" s="76">
      <c r="A118" s="152" t="n"/>
      <c r="B118" s="144" t="inlineStr">
        <is>
          <t>HGC-Lib-26097901</t>
        </is>
      </c>
      <c r="C118" s="144" t="n">
        <v>105.89</v>
      </c>
      <c r="D118" s="145" t="n">
        <v>10</v>
      </c>
      <c r="E118" s="146">
        <f>ROUND(D118/SUM(D109:D123)*IF(C118="",50,300.0),3)</f>
        <v/>
      </c>
      <c r="F118" s="146">
        <f>ROUND(E118/C118*G124,3)</f>
        <v/>
      </c>
      <c r="G118" s="144" t="inlineStr">
        <is>
          <t>基因组文库</t>
        </is>
      </c>
      <c r="H118" s="144" t="inlineStr">
        <is>
          <t>武汉百易汇能生物科技有限公司</t>
        </is>
      </c>
      <c r="I118" s="146" t="n"/>
      <c r="J118" s="144" t="n"/>
      <c r="K118" s="144" t="inlineStr">
        <is>
          <t>0801百易汇能-B9</t>
        </is>
      </c>
      <c r="L118" s="147" t="n"/>
      <c r="M118" s="147" t="n"/>
      <c r="N118" s="147" t="n">
        <v>105.89</v>
      </c>
      <c r="O118" s="147" t="inlineStr">
        <is>
          <t>华大双barcode文库</t>
        </is>
      </c>
      <c r="P118" s="147" t="inlineStr">
        <is>
          <t>已磷酸化</t>
        </is>
      </c>
      <c r="Q118" s="147" t="inlineStr">
        <is>
          <t>未环化</t>
        </is>
      </c>
      <c r="R118" s="147" t="inlineStr">
        <is>
          <t>A</t>
        </is>
      </c>
      <c r="S118" s="147" t="n"/>
    </row>
    <row r="119" ht="30" customHeight="1" s="76">
      <c r="A119" s="152" t="n"/>
      <c r="B119" s="144" t="inlineStr">
        <is>
          <t>HGC-Lib-26097902</t>
        </is>
      </c>
      <c r="C119" s="144" t="n">
        <v>31.92</v>
      </c>
      <c r="D119" s="145" t="n">
        <v>10</v>
      </c>
      <c r="E119" s="146">
        <f>ROUND(D119/SUM(D109:D123)*IF(C119="",50,300.0),3)</f>
        <v/>
      </c>
      <c r="F119" s="146">
        <f>ROUND(E119/C119*G124,3)</f>
        <v/>
      </c>
      <c r="G119" s="144" t="inlineStr">
        <is>
          <t>基因组文库</t>
        </is>
      </c>
      <c r="H119" s="144" t="inlineStr">
        <is>
          <t>武汉百易汇能生物科技有限公司</t>
        </is>
      </c>
      <c r="I119" s="146" t="n"/>
      <c r="J119" s="144" t="n"/>
      <c r="K119" s="144" t="inlineStr">
        <is>
          <t>0801百易汇能-C9</t>
        </is>
      </c>
      <c r="L119" s="147" t="n"/>
      <c r="M119" s="147" t="n"/>
      <c r="N119" s="147" t="n">
        <v>31.92</v>
      </c>
      <c r="O119" s="147" t="inlineStr">
        <is>
          <t>华大双barcode文库</t>
        </is>
      </c>
      <c r="P119" s="147" t="inlineStr">
        <is>
          <t>已磷酸化</t>
        </is>
      </c>
      <c r="Q119" s="147" t="inlineStr">
        <is>
          <t>未环化</t>
        </is>
      </c>
      <c r="R119" s="147" t="inlineStr">
        <is>
          <t>A</t>
        </is>
      </c>
      <c r="S119" s="147" t="n"/>
    </row>
    <row r="120" ht="30" customHeight="1" s="76">
      <c r="A120" s="152" t="n"/>
      <c r="B120" s="144" t="inlineStr">
        <is>
          <t>HGC-Lib-26097903</t>
        </is>
      </c>
      <c r="C120" s="144" t="n">
        <v>78.83</v>
      </c>
      <c r="D120" s="145" t="n">
        <v>10</v>
      </c>
      <c r="E120" s="146">
        <f>ROUND(D120/SUM(D109:D123)*IF(C120="",50,300.0),3)</f>
        <v/>
      </c>
      <c r="F120" s="146">
        <f>ROUND(E120/C120*G124,3)</f>
        <v/>
      </c>
      <c r="G120" s="144" t="inlineStr">
        <is>
          <t>基因组文库</t>
        </is>
      </c>
      <c r="H120" s="144" t="inlineStr">
        <is>
          <t>武汉百易汇能生物科技有限公司</t>
        </is>
      </c>
      <c r="I120" s="146" t="n"/>
      <c r="J120" s="144" t="n"/>
      <c r="K120" s="144" t="inlineStr">
        <is>
          <t>0801百易汇能-D9</t>
        </is>
      </c>
      <c r="L120" s="147" t="n"/>
      <c r="M120" s="147" t="n"/>
      <c r="N120" s="147" t="n">
        <v>78.83</v>
      </c>
      <c r="O120" s="147" t="inlineStr">
        <is>
          <t>华大双barcode文库</t>
        </is>
      </c>
      <c r="P120" s="147" t="inlineStr">
        <is>
          <t>已磷酸化</t>
        </is>
      </c>
      <c r="Q120" s="147" t="inlineStr">
        <is>
          <t>未环化</t>
        </is>
      </c>
      <c r="R120" s="147" t="inlineStr">
        <is>
          <t>A</t>
        </is>
      </c>
      <c r="S120" s="147" t="n"/>
    </row>
    <row r="121" ht="30" customHeight="1" s="76">
      <c r="A121" s="152" t="n"/>
      <c r="B121" s="144" t="inlineStr">
        <is>
          <t>HGC-Lib-26097904</t>
        </is>
      </c>
      <c r="C121" s="144" t="n">
        <v>88.41</v>
      </c>
      <c r="D121" s="145" t="n">
        <v>10</v>
      </c>
      <c r="E121" s="146">
        <f>ROUND(D121/SUM(D109:D123)*IF(C121="",50,300.0),3)</f>
        <v/>
      </c>
      <c r="F121" s="146">
        <f>ROUND(E121/C121*G124,3)</f>
        <v/>
      </c>
      <c r="G121" s="144" t="inlineStr">
        <is>
          <t>基因组文库</t>
        </is>
      </c>
      <c r="H121" s="144" t="inlineStr">
        <is>
          <t>武汉百易汇能生物科技有限公司</t>
        </is>
      </c>
      <c r="I121" s="146" t="n"/>
      <c r="J121" s="144" t="n"/>
      <c r="K121" s="144" t="inlineStr">
        <is>
          <t>0801百易汇能-E9</t>
        </is>
      </c>
      <c r="L121" s="147" t="n"/>
      <c r="M121" s="147" t="n"/>
      <c r="N121" s="147" t="n">
        <v>88.41</v>
      </c>
      <c r="O121" s="147" t="inlineStr">
        <is>
          <t>华大双barcode文库</t>
        </is>
      </c>
      <c r="P121" s="147" t="inlineStr">
        <is>
          <t>已磷酸化</t>
        </is>
      </c>
      <c r="Q121" s="147" t="inlineStr">
        <is>
          <t>未环化</t>
        </is>
      </c>
      <c r="R121" s="147" t="inlineStr">
        <is>
          <t>A</t>
        </is>
      </c>
      <c r="S121" s="147" t="n"/>
    </row>
    <row r="122" ht="30" customHeight="1" s="76">
      <c r="A122" s="152" t="n"/>
      <c r="B122" s="144" t="inlineStr">
        <is>
          <t>HGC-Lib-26097905</t>
        </is>
      </c>
      <c r="C122" s="144" t="n">
        <v>106.42</v>
      </c>
      <c r="D122" s="145" t="n">
        <v>10</v>
      </c>
      <c r="E122" s="146">
        <f>ROUND(D122/SUM(D109:D123)*IF(C122="",50,300.0),3)</f>
        <v/>
      </c>
      <c r="F122" s="146">
        <f>ROUND(E122/C122*G124,3)</f>
        <v/>
      </c>
      <c r="G122" s="144" t="inlineStr">
        <is>
          <t>基因组文库</t>
        </is>
      </c>
      <c r="H122" s="144" t="inlineStr">
        <is>
          <t>武汉百易汇能生物科技有限公司</t>
        </is>
      </c>
      <c r="I122" s="146" t="n"/>
      <c r="J122" s="144" t="n"/>
      <c r="K122" s="144" t="inlineStr">
        <is>
          <t>0801百易汇能-F9</t>
        </is>
      </c>
      <c r="L122" s="147" t="n"/>
      <c r="M122" s="147" t="n"/>
      <c r="N122" s="147" t="n">
        <v>106.42</v>
      </c>
      <c r="O122" s="147" t="inlineStr">
        <is>
          <t>华大双barcode文库</t>
        </is>
      </c>
      <c r="P122" s="147" t="inlineStr">
        <is>
          <t>已磷酸化</t>
        </is>
      </c>
      <c r="Q122" s="147" t="inlineStr">
        <is>
          <t>未环化</t>
        </is>
      </c>
      <c r="R122" s="147" t="inlineStr">
        <is>
          <t>A</t>
        </is>
      </c>
      <c r="S122" s="147" t="n"/>
    </row>
    <row r="123" ht="30" customHeight="1" s="76">
      <c r="A123" s="153" t="n"/>
      <c r="B123" s="144" t="inlineStr">
        <is>
          <t>HGC-Lib-26097906</t>
        </is>
      </c>
      <c r="C123" s="144" t="n">
        <v>64.93000000000001</v>
      </c>
      <c r="D123" s="145" t="n">
        <v>10</v>
      </c>
      <c r="E123" s="146">
        <f>ROUND(D123/SUM(D109:D123)*IF(C123="",50,300.0),3)</f>
        <v/>
      </c>
      <c r="F123" s="146">
        <f>ROUND(E123/C123*G124,3)</f>
        <v/>
      </c>
      <c r="G123" s="144" t="inlineStr">
        <is>
          <t>基因组文库</t>
        </is>
      </c>
      <c r="H123" s="144" t="inlineStr">
        <is>
          <t>武汉百易汇能生物科技有限公司</t>
        </is>
      </c>
      <c r="I123" s="146" t="n"/>
      <c r="J123" s="144" t="n"/>
      <c r="K123" s="144" t="inlineStr">
        <is>
          <t>0801百易汇能-G9</t>
        </is>
      </c>
      <c r="L123" s="147" t="n"/>
      <c r="M123" s="147" t="n"/>
      <c r="N123" s="147" t="n">
        <v>64.93000000000001</v>
      </c>
      <c r="O123" s="147" t="inlineStr">
        <is>
          <t>华大双barcode文库</t>
        </is>
      </c>
      <c r="P123" s="147" t="inlineStr">
        <is>
          <t>已磷酸化</t>
        </is>
      </c>
      <c r="Q123" s="147" t="inlineStr">
        <is>
          <t>未环化</t>
        </is>
      </c>
      <c r="R123" s="147" t="inlineStr">
        <is>
          <t>A</t>
        </is>
      </c>
      <c r="S123" s="147" t="n"/>
    </row>
    <row r="124" ht="30" customHeight="1" s="76">
      <c r="A124" s="148" t="n"/>
      <c r="B124" s="147" t="n">
        <v>15</v>
      </c>
      <c r="C124" s="148" t="n"/>
      <c r="D124" s="149">
        <f>ROUND(SUM(D109:D123),2)</f>
        <v/>
      </c>
      <c r="E124" s="150">
        <f>ROUND(SUM(E109:E123),3)</f>
        <v/>
      </c>
      <c r="F124" s="150">
        <f>IF(G124&gt;1,ROUND(SUM(F109:F123)/G124*2,3),ROUND(SUM(F109:F123),3))</f>
        <v/>
      </c>
      <c r="G124" s="147" t="n">
        <v>6</v>
      </c>
      <c r="H124" s="148" t="n"/>
      <c r="I124" s="151">
        <f>ROUND(40-F124,3)</f>
        <v/>
      </c>
      <c r="J124" s="148" t="n"/>
      <c r="K124" s="148" t="n"/>
      <c r="L124" s="148" t="n"/>
      <c r="M124" s="147">
        <f>AVERAGE(M109:M123)</f>
        <v/>
      </c>
      <c r="N124" s="148" t="n"/>
      <c r="O124" s="148" t="n"/>
      <c r="P124" s="148" t="n"/>
      <c r="Q124" s="148" t="n"/>
      <c r="R124" s="148" t="n"/>
      <c r="S124" s="148" t="n"/>
    </row>
    <row r="125" ht="30" customHeight="1" s="76">
      <c r="A125" s="155" t="inlineStr">
        <is>
          <t>C13</t>
        </is>
      </c>
      <c r="B125" s="144" t="inlineStr">
        <is>
          <t>HGC-Lib-26097876</t>
        </is>
      </c>
      <c r="C125" s="144" t="n">
        <v>52.15</v>
      </c>
      <c r="D125" s="145" t="n">
        <v>6</v>
      </c>
      <c r="E125" s="146">
        <f>ROUND(D125/SUM(D125:D140)*IF(C125="",50,300.0),3)</f>
        <v/>
      </c>
      <c r="F125" s="146">
        <f>ROUND(E125/C125*G141,3)</f>
        <v/>
      </c>
      <c r="G125" s="144" t="inlineStr">
        <is>
          <t>转录组文库</t>
        </is>
      </c>
      <c r="H125" s="144" t="inlineStr">
        <is>
          <t>武汉百易汇能生物科技有限公司</t>
        </is>
      </c>
      <c r="I125" s="146" t="n"/>
      <c r="J125" s="144" t="n"/>
      <c r="K125" s="144" t="inlineStr">
        <is>
          <t>0801百易汇能-A6</t>
        </is>
      </c>
      <c r="L125" s="147" t="n"/>
      <c r="M125" s="147" t="n"/>
      <c r="N125" s="147" t="n">
        <v>52.15</v>
      </c>
      <c r="O125" s="147" t="inlineStr">
        <is>
          <t>华大双barcode文库</t>
        </is>
      </c>
      <c r="P125" s="147" t="inlineStr">
        <is>
          <t>已磷酸化</t>
        </is>
      </c>
      <c r="Q125" s="147" t="inlineStr">
        <is>
          <t>未环化</t>
        </is>
      </c>
      <c r="R125" s="147" t="inlineStr">
        <is>
          <t>A</t>
        </is>
      </c>
      <c r="S125" s="147" t="n"/>
    </row>
    <row r="126" ht="30" customHeight="1" s="76">
      <c r="A126" s="152" t="n"/>
      <c r="B126" s="144" t="inlineStr">
        <is>
          <t>HGC-Lib-26097877</t>
        </is>
      </c>
      <c r="C126" s="144" t="n">
        <v>53.73</v>
      </c>
      <c r="D126" s="145" t="n">
        <v>6</v>
      </c>
      <c r="E126" s="146">
        <f>ROUND(D126/SUM(D125:D140)*IF(C126="",50,300.0),3)</f>
        <v/>
      </c>
      <c r="F126" s="146">
        <f>ROUND(E126/C126*G141,3)</f>
        <v/>
      </c>
      <c r="G126" s="144" t="inlineStr">
        <is>
          <t>转录组文库</t>
        </is>
      </c>
      <c r="H126" s="144" t="inlineStr">
        <is>
          <t>武汉百易汇能生物科技有限公司</t>
        </is>
      </c>
      <c r="I126" s="146" t="n"/>
      <c r="J126" s="144" t="n"/>
      <c r="K126" s="144" t="inlineStr">
        <is>
          <t>0801百易汇能-B6</t>
        </is>
      </c>
      <c r="L126" s="147" t="n"/>
      <c r="M126" s="147" t="n"/>
      <c r="N126" s="147" t="n">
        <v>53.73</v>
      </c>
      <c r="O126" s="147" t="inlineStr">
        <is>
          <t>华大双barcode文库</t>
        </is>
      </c>
      <c r="P126" s="147" t="inlineStr">
        <is>
          <t>已磷酸化</t>
        </is>
      </c>
      <c r="Q126" s="147" t="inlineStr">
        <is>
          <t>未环化</t>
        </is>
      </c>
      <c r="R126" s="147" t="inlineStr">
        <is>
          <t>A</t>
        </is>
      </c>
      <c r="S126" s="147" t="n"/>
    </row>
    <row r="127" ht="30" customHeight="1" s="76">
      <c r="A127" s="152" t="n"/>
      <c r="B127" s="144" t="inlineStr">
        <is>
          <t>HGC-Lib-26097878</t>
        </is>
      </c>
      <c r="C127" s="144" t="n">
        <v>52.79</v>
      </c>
      <c r="D127" s="145" t="n">
        <v>6</v>
      </c>
      <c r="E127" s="146">
        <f>ROUND(D127/SUM(D125:D140)*IF(C127="",50,300.0),3)</f>
        <v/>
      </c>
      <c r="F127" s="146">
        <f>ROUND(E127/C127*G141,3)</f>
        <v/>
      </c>
      <c r="G127" s="144" t="inlineStr">
        <is>
          <t>转录组文库</t>
        </is>
      </c>
      <c r="H127" s="144" t="inlineStr">
        <is>
          <t>武汉百易汇能生物科技有限公司</t>
        </is>
      </c>
      <c r="I127" s="146" t="n"/>
      <c r="J127" s="144" t="n"/>
      <c r="K127" s="144" t="inlineStr">
        <is>
          <t>0801百易汇能-C6</t>
        </is>
      </c>
      <c r="L127" s="147" t="n"/>
      <c r="M127" s="147" t="n"/>
      <c r="N127" s="147" t="n">
        <v>52.79</v>
      </c>
      <c r="O127" s="147" t="inlineStr">
        <is>
          <t>华大双barcode文库</t>
        </is>
      </c>
      <c r="P127" s="147" t="inlineStr">
        <is>
          <t>已磷酸化</t>
        </is>
      </c>
      <c r="Q127" s="147" t="inlineStr">
        <is>
          <t>未环化</t>
        </is>
      </c>
      <c r="R127" s="147" t="inlineStr">
        <is>
          <t>A</t>
        </is>
      </c>
      <c r="S127" s="147" t="n"/>
    </row>
    <row r="128" ht="30" customHeight="1" s="76">
      <c r="A128" s="152" t="n"/>
      <c r="B128" s="144" t="inlineStr">
        <is>
          <t>HGC-Lib-26097879</t>
        </is>
      </c>
      <c r="C128" s="144" t="n">
        <v>50.64</v>
      </c>
      <c r="D128" s="145" t="n">
        <v>6</v>
      </c>
      <c r="E128" s="146">
        <f>ROUND(D128/SUM(D125:D140)*IF(C128="",50,300.0),3)</f>
        <v/>
      </c>
      <c r="F128" s="146">
        <f>ROUND(E128/C128*G141,3)</f>
        <v/>
      </c>
      <c r="G128" s="144" t="inlineStr">
        <is>
          <t>转录组文库</t>
        </is>
      </c>
      <c r="H128" s="144" t="inlineStr">
        <is>
          <t>武汉百易汇能生物科技有限公司</t>
        </is>
      </c>
      <c r="I128" s="146" t="n"/>
      <c r="J128" s="144" t="n"/>
      <c r="K128" s="144" t="inlineStr">
        <is>
          <t>0801百易汇能-D6</t>
        </is>
      </c>
      <c r="L128" s="147" t="n"/>
      <c r="M128" s="147" t="n"/>
      <c r="N128" s="147" t="n">
        <v>50.64</v>
      </c>
      <c r="O128" s="147" t="inlineStr">
        <is>
          <t>华大双barcode文库</t>
        </is>
      </c>
      <c r="P128" s="147" t="inlineStr">
        <is>
          <t>已磷酸化</t>
        </is>
      </c>
      <c r="Q128" s="147" t="inlineStr">
        <is>
          <t>未环化</t>
        </is>
      </c>
      <c r="R128" s="147" t="inlineStr">
        <is>
          <t>A</t>
        </is>
      </c>
      <c r="S128" s="147" t="n"/>
    </row>
    <row r="129" ht="30" customHeight="1" s="76">
      <c r="A129" s="152" t="n"/>
      <c r="B129" s="144" t="inlineStr">
        <is>
          <t>HGC-Lib-26097880</t>
        </is>
      </c>
      <c r="C129" s="144" t="n">
        <v>40.16</v>
      </c>
      <c r="D129" s="145" t="n">
        <v>6</v>
      </c>
      <c r="E129" s="146">
        <f>ROUND(D129/SUM(D125:D140)*IF(C129="",50,300.0),3)</f>
        <v/>
      </c>
      <c r="F129" s="146">
        <f>ROUND(E129/C129*G141,3)</f>
        <v/>
      </c>
      <c r="G129" s="144" t="inlineStr">
        <is>
          <t>转录组文库</t>
        </is>
      </c>
      <c r="H129" s="144" t="inlineStr">
        <is>
          <t>武汉百易汇能生物科技有限公司</t>
        </is>
      </c>
      <c r="I129" s="146" t="n"/>
      <c r="J129" s="144" t="n"/>
      <c r="K129" s="144" t="inlineStr">
        <is>
          <t>0801百易汇能-E6</t>
        </is>
      </c>
      <c r="L129" s="147" t="n"/>
      <c r="M129" s="147" t="n"/>
      <c r="N129" s="147" t="n">
        <v>40.16</v>
      </c>
      <c r="O129" s="147" t="inlineStr">
        <is>
          <t>华大双barcode文库</t>
        </is>
      </c>
      <c r="P129" s="147" t="inlineStr">
        <is>
          <t>已磷酸化</t>
        </is>
      </c>
      <c r="Q129" s="147" t="inlineStr">
        <is>
          <t>未环化</t>
        </is>
      </c>
      <c r="R129" s="147" t="inlineStr">
        <is>
          <t>A</t>
        </is>
      </c>
      <c r="S129" s="147" t="n"/>
    </row>
    <row r="130" ht="30" customHeight="1" s="76">
      <c r="A130" s="152" t="n"/>
      <c r="B130" s="144" t="inlineStr">
        <is>
          <t>HGC-Lib-26097881</t>
        </is>
      </c>
      <c r="C130" s="144" t="n">
        <v>36.95</v>
      </c>
      <c r="D130" s="145" t="n">
        <v>6</v>
      </c>
      <c r="E130" s="146">
        <f>ROUND(D130/SUM(D125:D140)*IF(C130="",50,300.0),3)</f>
        <v/>
      </c>
      <c r="F130" s="146">
        <f>ROUND(E130/C130*G141,3)</f>
        <v/>
      </c>
      <c r="G130" s="144" t="inlineStr">
        <is>
          <t>转录组文库</t>
        </is>
      </c>
      <c r="H130" s="144" t="inlineStr">
        <is>
          <t>武汉百易汇能生物科技有限公司</t>
        </is>
      </c>
      <c r="I130" s="146" t="n"/>
      <c r="J130" s="144" t="n"/>
      <c r="K130" s="144" t="inlineStr">
        <is>
          <t>0801百易汇能-F6</t>
        </is>
      </c>
      <c r="L130" s="147" t="n"/>
      <c r="M130" s="147" t="n"/>
      <c r="N130" s="147" t="n">
        <v>36.95</v>
      </c>
      <c r="O130" s="147" t="inlineStr">
        <is>
          <t>华大双barcode文库</t>
        </is>
      </c>
      <c r="P130" s="147" t="inlineStr">
        <is>
          <t>已磷酸化</t>
        </is>
      </c>
      <c r="Q130" s="147" t="inlineStr">
        <is>
          <t>未环化</t>
        </is>
      </c>
      <c r="R130" s="147" t="inlineStr">
        <is>
          <t>A</t>
        </is>
      </c>
      <c r="S130" s="147" t="n"/>
    </row>
    <row r="131" ht="30" customHeight="1" s="76">
      <c r="A131" s="152" t="n"/>
      <c r="B131" s="144" t="inlineStr">
        <is>
          <t>HGC-Lib-26097882</t>
        </is>
      </c>
      <c r="C131" s="144" t="n">
        <v>35.18</v>
      </c>
      <c r="D131" s="145" t="n">
        <v>6</v>
      </c>
      <c r="E131" s="146">
        <f>ROUND(D131/SUM(D125:D140)*IF(C131="",50,300.0),3)</f>
        <v/>
      </c>
      <c r="F131" s="146">
        <f>ROUND(E131/C131*G141,3)</f>
        <v/>
      </c>
      <c r="G131" s="144" t="inlineStr">
        <is>
          <t>转录组文库</t>
        </is>
      </c>
      <c r="H131" s="144" t="inlineStr">
        <is>
          <t>武汉百易汇能生物科技有限公司</t>
        </is>
      </c>
      <c r="I131" s="146" t="n"/>
      <c r="J131" s="144" t="n"/>
      <c r="K131" s="144" t="inlineStr">
        <is>
          <t>0801百易汇能-G6</t>
        </is>
      </c>
      <c r="L131" s="147" t="n"/>
      <c r="M131" s="147" t="n"/>
      <c r="N131" s="147" t="n">
        <v>35.18</v>
      </c>
      <c r="O131" s="147" t="inlineStr">
        <is>
          <t>华大双barcode文库</t>
        </is>
      </c>
      <c r="P131" s="147" t="inlineStr">
        <is>
          <t>已磷酸化</t>
        </is>
      </c>
      <c r="Q131" s="147" t="inlineStr">
        <is>
          <t>未环化</t>
        </is>
      </c>
      <c r="R131" s="147" t="inlineStr">
        <is>
          <t>A</t>
        </is>
      </c>
      <c r="S131" s="147" t="n"/>
    </row>
    <row r="132" ht="30" customHeight="1" s="76">
      <c r="A132" s="152" t="n"/>
      <c r="B132" s="144" t="inlineStr">
        <is>
          <t>HGC-Lib-26097883</t>
        </is>
      </c>
      <c r="C132" s="144" t="n">
        <v>35.29</v>
      </c>
      <c r="D132" s="145" t="n">
        <v>6</v>
      </c>
      <c r="E132" s="146">
        <f>ROUND(D132/SUM(D125:D140)*IF(C132="",50,300.0),3)</f>
        <v/>
      </c>
      <c r="F132" s="146">
        <f>ROUND(E132/C132*G141,3)</f>
        <v/>
      </c>
      <c r="G132" s="144" t="inlineStr">
        <is>
          <t>转录组文库</t>
        </is>
      </c>
      <c r="H132" s="144" t="inlineStr">
        <is>
          <t>武汉百易汇能生物科技有限公司</t>
        </is>
      </c>
      <c r="I132" s="146" t="n"/>
      <c r="J132" s="144" t="n"/>
      <c r="K132" s="144" t="inlineStr">
        <is>
          <t>0801百易汇能-H6</t>
        </is>
      </c>
      <c r="L132" s="147" t="n"/>
      <c r="M132" s="147" t="n"/>
      <c r="N132" s="147" t="n">
        <v>35.29</v>
      </c>
      <c r="O132" s="147" t="inlineStr">
        <is>
          <t>华大双barcode文库</t>
        </is>
      </c>
      <c r="P132" s="147" t="inlineStr">
        <is>
          <t>已磷酸化</t>
        </is>
      </c>
      <c r="Q132" s="147" t="inlineStr">
        <is>
          <t>未环化</t>
        </is>
      </c>
      <c r="R132" s="147" t="inlineStr">
        <is>
          <t>A</t>
        </is>
      </c>
      <c r="S132" s="147" t="n"/>
    </row>
    <row r="133" ht="30" customHeight="1" s="76">
      <c r="A133" s="152" t="n"/>
      <c r="B133" s="144" t="inlineStr">
        <is>
          <t>HGC-Lib-26097884</t>
        </is>
      </c>
      <c r="C133" s="144" t="n">
        <v>16.47</v>
      </c>
      <c r="D133" s="145" t="n">
        <v>6</v>
      </c>
      <c r="E133" s="146">
        <f>ROUND(D133/SUM(D125:D140)*IF(C133="",50,300.0),3)</f>
        <v/>
      </c>
      <c r="F133" s="146">
        <f>ROUND(E133/C133*G141,3)</f>
        <v/>
      </c>
      <c r="G133" s="144" t="inlineStr">
        <is>
          <t>转录组文库</t>
        </is>
      </c>
      <c r="H133" s="144" t="inlineStr">
        <is>
          <t>武汉百易汇能生物科技有限公司</t>
        </is>
      </c>
      <c r="I133" s="146" t="n"/>
      <c r="J133" s="144" t="n"/>
      <c r="K133" s="144" t="inlineStr">
        <is>
          <t>0801百易汇能-A7</t>
        </is>
      </c>
      <c r="L133" s="147" t="n"/>
      <c r="M133" s="147" t="n"/>
      <c r="N133" s="147" t="n">
        <v>16.47</v>
      </c>
      <c r="O133" s="147" t="inlineStr">
        <is>
          <t>华大双barcode文库</t>
        </is>
      </c>
      <c r="P133" s="147" t="inlineStr">
        <is>
          <t>已磷酸化</t>
        </is>
      </c>
      <c r="Q133" s="147" t="inlineStr">
        <is>
          <t>未环化</t>
        </is>
      </c>
      <c r="R133" s="147" t="inlineStr">
        <is>
          <t>B</t>
        </is>
      </c>
      <c r="S133" s="147" t="inlineStr">
        <is>
          <t>E</t>
        </is>
      </c>
    </row>
    <row r="134" ht="30" customHeight="1" s="76">
      <c r="A134" s="152" t="n"/>
      <c r="B134" s="144" t="inlineStr">
        <is>
          <t>HGC-Lib-26097885</t>
        </is>
      </c>
      <c r="C134" s="144" t="n">
        <v>40.27</v>
      </c>
      <c r="D134" s="145" t="n">
        <v>6</v>
      </c>
      <c r="E134" s="146">
        <f>ROUND(D134/SUM(D125:D140)*IF(C134="",50,300.0),3)</f>
        <v/>
      </c>
      <c r="F134" s="146">
        <f>ROUND(E134/C134*G141,3)</f>
        <v/>
      </c>
      <c r="G134" s="144" t="inlineStr">
        <is>
          <t>转录组文库</t>
        </is>
      </c>
      <c r="H134" s="144" t="inlineStr">
        <is>
          <t>武汉百易汇能生物科技有限公司</t>
        </is>
      </c>
      <c r="I134" s="146" t="n"/>
      <c r="J134" s="144" t="n"/>
      <c r="K134" s="144" t="inlineStr">
        <is>
          <t>0801百易汇能-B7</t>
        </is>
      </c>
      <c r="L134" s="147" t="n"/>
      <c r="M134" s="147" t="n"/>
      <c r="N134" s="147" t="n">
        <v>40.27</v>
      </c>
      <c r="O134" s="147" t="inlineStr">
        <is>
          <t>华大双barcode文库</t>
        </is>
      </c>
      <c r="P134" s="147" t="inlineStr">
        <is>
          <t>已磷酸化</t>
        </is>
      </c>
      <c r="Q134" s="147" t="inlineStr">
        <is>
          <t>未环化</t>
        </is>
      </c>
      <c r="R134" s="147" t="inlineStr">
        <is>
          <t>A</t>
        </is>
      </c>
      <c r="S134" s="147" t="n"/>
    </row>
    <row r="135" ht="30" customHeight="1" s="76">
      <c r="A135" s="152" t="n"/>
      <c r="B135" s="144" t="inlineStr">
        <is>
          <t>HGC-Lib-26097886</t>
        </is>
      </c>
      <c r="C135" s="144" t="n">
        <v>39.46</v>
      </c>
      <c r="D135" s="145" t="n">
        <v>6</v>
      </c>
      <c r="E135" s="146">
        <f>ROUND(D135/SUM(D125:D140)*IF(C135="",50,300.0),3)</f>
        <v/>
      </c>
      <c r="F135" s="146">
        <f>ROUND(E135/C135*G141,3)</f>
        <v/>
      </c>
      <c r="G135" s="144" t="inlineStr">
        <is>
          <t>转录组文库</t>
        </is>
      </c>
      <c r="H135" s="144" t="inlineStr">
        <is>
          <t>武汉百易汇能生物科技有限公司</t>
        </is>
      </c>
      <c r="I135" s="146" t="n"/>
      <c r="J135" s="144" t="n"/>
      <c r="K135" s="144" t="inlineStr">
        <is>
          <t>0801百易汇能-C7</t>
        </is>
      </c>
      <c r="L135" s="147" t="n"/>
      <c r="M135" s="147" t="n"/>
      <c r="N135" s="147" t="n">
        <v>39.46</v>
      </c>
      <c r="O135" s="147" t="inlineStr">
        <is>
          <t>华大双barcode文库</t>
        </is>
      </c>
      <c r="P135" s="147" t="inlineStr">
        <is>
          <t>已磷酸化</t>
        </is>
      </c>
      <c r="Q135" s="147" t="inlineStr">
        <is>
          <t>未环化</t>
        </is>
      </c>
      <c r="R135" s="147" t="inlineStr">
        <is>
          <t>A</t>
        </is>
      </c>
      <c r="S135" s="147" t="n"/>
    </row>
    <row r="136" ht="30" customHeight="1" s="76">
      <c r="A136" s="152" t="n"/>
      <c r="B136" s="144" t="inlineStr">
        <is>
          <t>HGC-Lib-26097887</t>
        </is>
      </c>
      <c r="C136" s="144" t="n">
        <v>37.6</v>
      </c>
      <c r="D136" s="145" t="n">
        <v>6</v>
      </c>
      <c r="E136" s="146">
        <f>ROUND(D136/SUM(D125:D140)*IF(C136="",50,300.0),3)</f>
        <v/>
      </c>
      <c r="F136" s="146">
        <f>ROUND(E136/C136*G141,3)</f>
        <v/>
      </c>
      <c r="G136" s="144" t="inlineStr">
        <is>
          <t>转录组文库</t>
        </is>
      </c>
      <c r="H136" s="144" t="inlineStr">
        <is>
          <t>武汉百易汇能生物科技有限公司</t>
        </is>
      </c>
      <c r="I136" s="146" t="n"/>
      <c r="J136" s="144" t="n"/>
      <c r="K136" s="144" t="inlineStr">
        <is>
          <t>0801百易汇能-D7</t>
        </is>
      </c>
      <c r="L136" s="147" t="n"/>
      <c r="M136" s="147" t="n"/>
      <c r="N136" s="147" t="n">
        <v>37.6</v>
      </c>
      <c r="O136" s="147" t="inlineStr">
        <is>
          <t>华大双barcode文库</t>
        </is>
      </c>
      <c r="P136" s="147" t="inlineStr">
        <is>
          <t>已磷酸化</t>
        </is>
      </c>
      <c r="Q136" s="147" t="inlineStr">
        <is>
          <t>未环化</t>
        </is>
      </c>
      <c r="R136" s="147" t="inlineStr">
        <is>
          <t>A</t>
        </is>
      </c>
      <c r="S136" s="147" t="n"/>
    </row>
    <row r="137" ht="30" customHeight="1" s="76">
      <c r="A137" s="152" t="n"/>
      <c r="B137" s="144" t="inlineStr">
        <is>
          <t>HGC-Lib-26097888</t>
        </is>
      </c>
      <c r="C137" s="144" t="n">
        <v>36.35</v>
      </c>
      <c r="D137" s="145" t="n">
        <v>6</v>
      </c>
      <c r="E137" s="146">
        <f>ROUND(D137/SUM(D125:D140)*IF(C137="",50,300.0),3)</f>
        <v/>
      </c>
      <c r="F137" s="146">
        <f>ROUND(E137/C137*G141,3)</f>
        <v/>
      </c>
      <c r="G137" s="144" t="inlineStr">
        <is>
          <t>转录组文库</t>
        </is>
      </c>
      <c r="H137" s="144" t="inlineStr">
        <is>
          <t>武汉百易汇能生物科技有限公司</t>
        </is>
      </c>
      <c r="I137" s="146" t="n"/>
      <c r="J137" s="144" t="n"/>
      <c r="K137" s="144" t="inlineStr">
        <is>
          <t>0801百易汇能-E7</t>
        </is>
      </c>
      <c r="L137" s="147" t="n"/>
      <c r="M137" s="147" t="n"/>
      <c r="N137" s="147" t="n">
        <v>36.35</v>
      </c>
      <c r="O137" s="147" t="inlineStr">
        <is>
          <t>华大双barcode文库</t>
        </is>
      </c>
      <c r="P137" s="147" t="inlineStr">
        <is>
          <t>已磷酸化</t>
        </is>
      </c>
      <c r="Q137" s="147" t="inlineStr">
        <is>
          <t>未环化</t>
        </is>
      </c>
      <c r="R137" s="147" t="inlineStr">
        <is>
          <t>A</t>
        </is>
      </c>
      <c r="S137" s="147" t="n"/>
    </row>
    <row r="138" ht="30" customHeight="1" s="76">
      <c r="A138" s="152" t="n"/>
      <c r="B138" s="144" t="inlineStr">
        <is>
          <t>HGC-Lib-26097889</t>
        </is>
      </c>
      <c r="C138" s="144" t="n">
        <v>36.3</v>
      </c>
      <c r="D138" s="145" t="n">
        <v>6</v>
      </c>
      <c r="E138" s="146">
        <f>ROUND(D138/SUM(D125:D140)*IF(C138="",50,300.0),3)</f>
        <v/>
      </c>
      <c r="F138" s="146">
        <f>ROUND(E138/C138*G141,3)</f>
        <v/>
      </c>
      <c r="G138" s="144" t="inlineStr">
        <is>
          <t>转录组文库</t>
        </is>
      </c>
      <c r="H138" s="144" t="inlineStr">
        <is>
          <t>武汉百易汇能生物科技有限公司</t>
        </is>
      </c>
      <c r="I138" s="146" t="n"/>
      <c r="J138" s="144" t="n"/>
      <c r="K138" s="144" t="inlineStr">
        <is>
          <t>0801百易汇能-F7</t>
        </is>
      </c>
      <c r="L138" s="147" t="n"/>
      <c r="M138" s="147" t="n"/>
      <c r="N138" s="147" t="n">
        <v>36.3</v>
      </c>
      <c r="O138" s="147" t="inlineStr">
        <is>
          <t>华大双barcode文库</t>
        </is>
      </c>
      <c r="P138" s="147" t="inlineStr">
        <is>
          <t>已磷酸化</t>
        </is>
      </c>
      <c r="Q138" s="147" t="inlineStr">
        <is>
          <t>未环化</t>
        </is>
      </c>
      <c r="R138" s="147" t="inlineStr">
        <is>
          <t>A</t>
        </is>
      </c>
      <c r="S138" s="147" t="n"/>
    </row>
    <row r="139" ht="30" customHeight="1" s="76">
      <c r="A139" s="152" t="n"/>
      <c r="B139" s="144" t="inlineStr">
        <is>
          <t>HGC-Lib-26097890</t>
        </is>
      </c>
      <c r="C139" s="144" t="n">
        <v>38.98</v>
      </c>
      <c r="D139" s="145" t="n">
        <v>6</v>
      </c>
      <c r="E139" s="146">
        <f>ROUND(D139/SUM(D125:D140)*IF(C139="",50,300.0),3)</f>
        <v/>
      </c>
      <c r="F139" s="146">
        <f>ROUND(E139/C139*G141,3)</f>
        <v/>
      </c>
      <c r="G139" s="144" t="inlineStr">
        <is>
          <t>转录组文库</t>
        </is>
      </c>
      <c r="H139" s="144" t="inlineStr">
        <is>
          <t>武汉百易汇能生物科技有限公司</t>
        </is>
      </c>
      <c r="I139" s="146" t="n"/>
      <c r="J139" s="144" t="n"/>
      <c r="K139" s="144" t="inlineStr">
        <is>
          <t>0801百易汇能-G7</t>
        </is>
      </c>
      <c r="L139" s="147" t="n"/>
      <c r="M139" s="147" t="n"/>
      <c r="N139" s="147" t="n">
        <v>38.98</v>
      </c>
      <c r="O139" s="147" t="inlineStr">
        <is>
          <t>华大双barcode文库</t>
        </is>
      </c>
      <c r="P139" s="147" t="inlineStr">
        <is>
          <t>已磷酸化</t>
        </is>
      </c>
      <c r="Q139" s="147" t="inlineStr">
        <is>
          <t>未环化</t>
        </is>
      </c>
      <c r="R139" s="147" t="inlineStr">
        <is>
          <t>A</t>
        </is>
      </c>
      <c r="S139" s="147" t="n"/>
    </row>
    <row r="140" ht="30" customHeight="1" s="76">
      <c r="A140" s="153" t="n"/>
      <c r="B140" s="144" t="inlineStr">
        <is>
          <t>HGC-Lib-26097891</t>
        </is>
      </c>
      <c r="C140" s="144" t="n">
        <v>30.46</v>
      </c>
      <c r="D140" s="145" t="n">
        <v>6</v>
      </c>
      <c r="E140" s="146">
        <f>ROUND(D140/SUM(D125:D140)*IF(C140="",50,300.0),3)</f>
        <v/>
      </c>
      <c r="F140" s="146">
        <f>ROUND(E140/C140*G141,3)</f>
        <v/>
      </c>
      <c r="G140" s="144" t="inlineStr">
        <is>
          <t>转录组文库</t>
        </is>
      </c>
      <c r="H140" s="144" t="inlineStr">
        <is>
          <t>武汉百易汇能生物科技有限公司</t>
        </is>
      </c>
      <c r="I140" s="146" t="n"/>
      <c r="J140" s="144" t="n"/>
      <c r="K140" s="144" t="inlineStr">
        <is>
          <t>0801百易汇能-H7</t>
        </is>
      </c>
      <c r="L140" s="147" t="n"/>
      <c r="M140" s="147" t="n"/>
      <c r="N140" s="147" t="n">
        <v>30.46</v>
      </c>
      <c r="O140" s="147" t="inlineStr">
        <is>
          <t>华大双barcode文库</t>
        </is>
      </c>
      <c r="P140" s="147" t="inlineStr">
        <is>
          <t>已磷酸化</t>
        </is>
      </c>
      <c r="Q140" s="147" t="inlineStr">
        <is>
          <t>未环化</t>
        </is>
      </c>
      <c r="R140" s="147" t="inlineStr">
        <is>
          <t>A</t>
        </is>
      </c>
      <c r="S140" s="147" t="n"/>
    </row>
    <row r="141" ht="30" customHeight="1" s="76">
      <c r="A141" s="148" t="n"/>
      <c r="B141" s="147" t="n">
        <v>16</v>
      </c>
      <c r="C141" s="148" t="n"/>
      <c r="D141" s="149">
        <f>ROUND(SUM(D125:D140),2)</f>
        <v/>
      </c>
      <c r="E141" s="150">
        <f>ROUND(SUM(E125:E140),3)</f>
        <v/>
      </c>
      <c r="F141" s="150">
        <f>IF(G141&gt;1,ROUND(SUM(F125:F140)/G141*2,3),ROUND(SUM(F125:F140),3))</f>
        <v/>
      </c>
      <c r="G141" s="147" t="n">
        <v>3</v>
      </c>
      <c r="H141" s="148" t="n"/>
      <c r="I141" s="151">
        <f>ROUND(40-F141,3)</f>
        <v/>
      </c>
      <c r="J141" s="148" t="n"/>
      <c r="K141" s="148" t="n"/>
      <c r="L141" s="148" t="n"/>
      <c r="M141" s="147">
        <f>AVERAGE(M125:M140)</f>
        <v/>
      </c>
      <c r="N141" s="148" t="n"/>
      <c r="O141" s="148" t="n"/>
      <c r="P141" s="148" t="n"/>
      <c r="Q141" s="148" t="n"/>
      <c r="R141" s="148" t="n"/>
      <c r="S141" s="148" t="n"/>
    </row>
  </sheetData>
  <mergeCells count="8">
    <mergeCell ref="A91:A100"/>
    <mergeCell ref="A74:A77"/>
    <mergeCell ref="A83:A89"/>
    <mergeCell ref="A69:A70"/>
    <mergeCell ref="A109:A123"/>
    <mergeCell ref="A6:A67"/>
    <mergeCell ref="A102:A107"/>
    <mergeCell ref="A125:A140"/>
  </mergeCells>
  <pageMargins left="0.75" right="0.75" top="1" bottom="1" header="0.5" footer="0.5"/>
  <pageSetup orientation="portrait" paperSize="9" scale="17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S314"/>
  <sheetViews>
    <sheetView workbookViewId="0">
      <selection activeCell="A1" sqref="A1"/>
    </sheetView>
  </sheetViews>
  <sheetFormatPr baseColWidth="8" defaultColWidth="8.75" defaultRowHeight="30" customHeight="1"/>
  <cols>
    <col width="12" customWidth="1" style="27" min="1" max="1"/>
    <col width="20" customWidth="1" style="27" min="2" max="2"/>
    <col width="22" customWidth="1" style="84" min="3" max="3"/>
    <col width="24" customWidth="1" style="84" min="4" max="4"/>
    <col width="52" customWidth="1" style="85" min="5" max="5"/>
    <col width="58" customWidth="1" style="86" min="6" max="6"/>
    <col width="25" customWidth="1" style="27" min="7" max="7"/>
    <col width="28" customWidth="1" style="27" min="8" max="8"/>
    <col width="27" customWidth="1" style="84" min="9" max="9"/>
    <col width="8" customWidth="1" style="87" min="10" max="10"/>
    <col width="21" customWidth="1" style="76" min="11" max="11"/>
    <col width="8" customWidth="1" style="87" min="12" max="12"/>
    <col width="19" customWidth="1" style="27" min="13" max="13"/>
    <col width="22" customWidth="1" style="27" min="14" max="14"/>
    <col width="23" customWidth="1" style="27" min="15" max="15"/>
    <col width="12" customWidth="1" style="27" min="16" max="16"/>
    <col width="10" customWidth="1" style="27" min="17" max="17"/>
    <col width="16" customWidth="1" style="27" min="18" max="18"/>
    <col width="12" customWidth="1" style="27" min="19" max="19"/>
    <col width="8.75" customWidth="1" style="27" min="20" max="21"/>
    <col width="9.125" customWidth="1" style="27" min="22" max="22"/>
    <col width="8.75" customWidth="1" style="27" min="23" max="29"/>
    <col width="8.75" customWidth="1" style="27" min="30" max="16384"/>
  </cols>
  <sheetData>
    <row r="1" ht="90" customFormat="1" customHeight="1" s="26">
      <c r="A1" s="60" t="inlineStr">
        <is>
          <t>Lane编号</t>
        </is>
      </c>
      <c r="B1" s="32" t="inlineStr">
        <is>
          <t>文库编号</t>
        </is>
      </c>
      <c r="C1" s="88" t="inlineStr">
        <is>
          <t>Qubit浓度（ng/ul）</t>
        </is>
      </c>
      <c r="D1" s="88" t="inlineStr">
        <is>
          <t>数据量（G)</t>
        </is>
      </c>
      <c r="E1" s="89" t="inlineStr">
        <is>
          <t>文库摩尔质量（nM）</t>
        </is>
      </c>
      <c r="F1" s="90" t="inlineStr">
        <is>
          <t>最终取样体积（ul）</t>
        </is>
      </c>
      <c r="G1" s="32" t="inlineStr">
        <is>
          <t>文库类型</t>
        </is>
      </c>
      <c r="H1" s="91" t="inlineStr">
        <is>
          <t>客户单位</t>
        </is>
      </c>
      <c r="I1" s="92" t="inlineStr">
        <is>
          <t>TE Buffer补充体积（uL）</t>
        </is>
      </c>
      <c r="J1" s="93" t="inlineStr">
        <is>
          <t>孔号</t>
        </is>
      </c>
      <c r="K1" s="93" t="inlineStr">
        <is>
          <t>板号</t>
        </is>
      </c>
      <c r="L1" s="93" t="inlineStr">
        <is>
          <t>备注</t>
        </is>
      </c>
      <c r="M1" s="62" t="inlineStr">
        <is>
          <t>片段</t>
        </is>
      </c>
      <c r="N1" s="62" t="inlineStr">
        <is>
          <t>Qubit浓度（ng/ul）</t>
        </is>
      </c>
      <c r="O1" s="62" t="inlineStr">
        <is>
          <t>文库结构</t>
        </is>
      </c>
      <c r="P1" s="62" t="inlineStr">
        <is>
          <t>磷酸化*</t>
        </is>
      </c>
      <c r="Q1" s="62" t="inlineStr">
        <is>
          <t>环化*</t>
        </is>
      </c>
      <c r="R1" s="77" t="inlineStr">
        <is>
          <t>人工检测结果</t>
        </is>
      </c>
      <c r="S1" s="77" t="inlineStr">
        <is>
          <t>人工备注</t>
        </is>
      </c>
    </row>
    <row r="2" ht="30" customHeight="1" s="76">
      <c r="A2" s="143" t="inlineStr">
        <is>
          <t>D1</t>
        </is>
      </c>
      <c r="B2" s="144" t="inlineStr">
        <is>
          <t>HGC-Lib-26098128</t>
        </is>
      </c>
      <c r="C2" s="144" t="n">
        <v>7.89</v>
      </c>
      <c r="D2" s="145" t="n">
        <v>5</v>
      </c>
      <c r="E2" s="146">
        <f>ROUND(D2/SUM(D2:D8)*IF(C2="",50,10.0),3)</f>
        <v/>
      </c>
      <c r="F2" s="146">
        <f>ROUND(E2/C2*G9,3)</f>
        <v/>
      </c>
      <c r="G2" s="144" t="inlineStr">
        <is>
          <t>有参转录组（RNA-seq）</t>
        </is>
      </c>
      <c r="H2" s="144" t="inlineStr">
        <is>
          <t>广州奥智生物科技有限公司</t>
        </is>
      </c>
      <c r="I2" s="146" t="n"/>
      <c r="J2" s="144" t="n"/>
      <c r="K2" s="144" t="inlineStr">
        <is>
          <t xml:space="preserve">26.7.28-4_E9 </t>
        </is>
      </c>
      <c r="L2" s="147" t="n"/>
      <c r="M2" s="147" t="n"/>
      <c r="N2" s="147" t="n">
        <v>7.89</v>
      </c>
      <c r="O2" s="147" t="inlineStr">
        <is>
          <t>Illumina Truseq文库</t>
        </is>
      </c>
      <c r="P2" s="147" t="inlineStr">
        <is>
          <t>未磷酸化</t>
        </is>
      </c>
      <c r="Q2" s="147" t="inlineStr">
        <is>
          <t>未环化</t>
        </is>
      </c>
      <c r="R2" s="147" t="inlineStr">
        <is>
          <t>A</t>
        </is>
      </c>
      <c r="S2" s="147" t="n"/>
    </row>
    <row r="3" ht="30" customHeight="1" s="76">
      <c r="A3" s="152" t="n"/>
      <c r="B3" s="144" t="inlineStr">
        <is>
          <t>HGC-Lib-26098143</t>
        </is>
      </c>
      <c r="C3" s="144" t="n">
        <v>8.99</v>
      </c>
      <c r="D3" s="145" t="n">
        <v>5</v>
      </c>
      <c r="E3" s="146">
        <f>ROUND(D3/SUM(D2:D8)*IF(C3="",50,10.0),3)</f>
        <v/>
      </c>
      <c r="F3" s="146">
        <f>ROUND(E3/C3*G9,3)</f>
        <v/>
      </c>
      <c r="G3" s="144" t="inlineStr">
        <is>
          <t>有参转录组（RNA-seq）</t>
        </is>
      </c>
      <c r="H3" s="144" t="inlineStr">
        <is>
          <t>广州奥智生物科技有限公司</t>
        </is>
      </c>
      <c r="I3" s="146" t="n"/>
      <c r="J3" s="144" t="n"/>
      <c r="K3" s="144" t="inlineStr">
        <is>
          <t xml:space="preserve">26.7.28-4_F12 </t>
        </is>
      </c>
      <c r="L3" s="147" t="n"/>
      <c r="M3" s="147" t="n"/>
      <c r="N3" s="147" t="n">
        <v>8.99</v>
      </c>
      <c r="O3" s="147" t="inlineStr">
        <is>
          <t>Illumina Truseq文库</t>
        </is>
      </c>
      <c r="P3" s="147" t="inlineStr">
        <is>
          <t>未磷酸化</t>
        </is>
      </c>
      <c r="Q3" s="147" t="inlineStr">
        <is>
          <t>未环化</t>
        </is>
      </c>
      <c r="R3" s="147" t="inlineStr">
        <is>
          <t>A</t>
        </is>
      </c>
      <c r="S3" s="147" t="n"/>
    </row>
    <row r="4" ht="30" customHeight="1" s="76">
      <c r="A4" s="152" t="n"/>
      <c r="B4" s="144" t="inlineStr">
        <is>
          <t>HGC-Lib-26098159</t>
        </is>
      </c>
      <c r="C4" s="144" t="n">
        <v>7.69</v>
      </c>
      <c r="D4" s="145" t="n">
        <v>5</v>
      </c>
      <c r="E4" s="146">
        <f>ROUND(D4/SUM(D2:D8)*IF(C4="",50,10.0),3)</f>
        <v/>
      </c>
      <c r="F4" s="146">
        <f>ROUND(E4/C4*G9,3)</f>
        <v/>
      </c>
      <c r="G4" s="144" t="inlineStr">
        <is>
          <t>有参转录组（RNA-seq）</t>
        </is>
      </c>
      <c r="H4" s="144" t="inlineStr">
        <is>
          <t>广州奥智生物科技有限公司</t>
        </is>
      </c>
      <c r="I4" s="146" t="n"/>
      <c r="J4" s="144" t="n"/>
      <c r="K4" s="144" t="inlineStr">
        <is>
          <t xml:space="preserve">26.7.28-4_H4 </t>
        </is>
      </c>
      <c r="L4" s="147" t="n"/>
      <c r="M4" s="147" t="n"/>
      <c r="N4" s="147" t="n">
        <v>7.69</v>
      </c>
      <c r="O4" s="147" t="inlineStr">
        <is>
          <t>Illumina Truseq文库</t>
        </is>
      </c>
      <c r="P4" s="147" t="inlineStr">
        <is>
          <t>未磷酸化</t>
        </is>
      </c>
      <c r="Q4" s="147" t="inlineStr">
        <is>
          <t>未环化</t>
        </is>
      </c>
      <c r="R4" s="147" t="inlineStr">
        <is>
          <t>A</t>
        </is>
      </c>
      <c r="S4" s="147" t="n"/>
    </row>
    <row r="5" ht="30" customHeight="1" s="76">
      <c r="A5" s="152" t="n"/>
      <c r="B5" s="144" t="inlineStr">
        <is>
          <t>HGC-Lib-26098167</t>
        </is>
      </c>
      <c r="C5" s="144" t="n">
        <v>4.66</v>
      </c>
      <c r="D5" s="145" t="n">
        <v>5</v>
      </c>
      <c r="E5" s="146">
        <f>ROUND(D5/SUM(D2:D8)*IF(C5="",50,10.0),3)</f>
        <v/>
      </c>
      <c r="F5" s="146">
        <f>ROUND(E5/C5*G9,3)</f>
        <v/>
      </c>
      <c r="G5" s="144" t="inlineStr">
        <is>
          <t>有参转录组（RNA-seq）</t>
        </is>
      </c>
      <c r="H5" s="144" t="inlineStr">
        <is>
          <t>广州奥智生物科技有限公司</t>
        </is>
      </c>
      <c r="I5" s="146" t="n"/>
      <c r="J5" s="144" t="n"/>
      <c r="K5" s="144" t="inlineStr">
        <is>
          <t xml:space="preserve">26.7.28-4_H12 </t>
        </is>
      </c>
      <c r="L5" s="147" t="n"/>
      <c r="M5" s="147" t="n"/>
      <c r="N5" s="147" t="n">
        <v>4.66</v>
      </c>
      <c r="O5" s="147" t="inlineStr">
        <is>
          <t>Illumina Truseq文库</t>
        </is>
      </c>
      <c r="P5" s="147" t="inlineStr">
        <is>
          <t>未磷酸化</t>
        </is>
      </c>
      <c r="Q5" s="147" t="inlineStr">
        <is>
          <t>未环化</t>
        </is>
      </c>
      <c r="R5" s="147" t="inlineStr">
        <is>
          <t>A</t>
        </is>
      </c>
      <c r="S5" s="147" t="n"/>
    </row>
    <row r="6" ht="30" customHeight="1" s="76">
      <c r="A6" s="152" t="n"/>
      <c r="B6" s="144" t="inlineStr">
        <is>
          <t>HGC-Lib-26098230</t>
        </is>
      </c>
      <c r="C6" s="144" t="n">
        <v>6.12</v>
      </c>
      <c r="D6" s="145" t="n">
        <v>5</v>
      </c>
      <c r="E6" s="146">
        <f>ROUND(D6/SUM(D2:D8)*IF(C6="",50,10.0),3)</f>
        <v/>
      </c>
      <c r="F6" s="146">
        <f>ROUND(E6/C6*G9,3)</f>
        <v/>
      </c>
      <c r="G6" s="144" t="inlineStr">
        <is>
          <t>有参转录组（RNA-seq）</t>
        </is>
      </c>
      <c r="H6" s="144" t="inlineStr">
        <is>
          <t>广州奥智生物科技有限公司</t>
        </is>
      </c>
      <c r="I6" s="146" t="n"/>
      <c r="J6" s="144" t="n"/>
      <c r="K6" s="154" t="inlineStr">
        <is>
          <t xml:space="preserve">26.7.29-3-夜_B12 </t>
        </is>
      </c>
      <c r="L6" s="147" t="n"/>
      <c r="M6" s="147" t="n"/>
      <c r="N6" s="147" t="n">
        <v>6.12</v>
      </c>
      <c r="O6" s="147" t="inlineStr">
        <is>
          <t>Illumina Truseq文库</t>
        </is>
      </c>
      <c r="P6" s="147" t="inlineStr">
        <is>
          <t>未磷酸化</t>
        </is>
      </c>
      <c r="Q6" s="147" t="inlineStr">
        <is>
          <t>未环化</t>
        </is>
      </c>
      <c r="R6" s="147" t="inlineStr">
        <is>
          <t>A</t>
        </is>
      </c>
      <c r="S6" s="147" t="n"/>
    </row>
    <row r="7" ht="30" customHeight="1" s="76">
      <c r="A7" s="152" t="n"/>
      <c r="B7" s="144" t="inlineStr">
        <is>
          <t>HGC-Lib-26098231</t>
        </is>
      </c>
      <c r="C7" s="144" t="n">
        <v>5.43</v>
      </c>
      <c r="D7" s="145" t="n">
        <v>5</v>
      </c>
      <c r="E7" s="146">
        <f>ROUND(D7/SUM(D2:D8)*IF(C7="",50,10.0),3)</f>
        <v/>
      </c>
      <c r="F7" s="146">
        <f>ROUND(E7/C7*G9,3)</f>
        <v/>
      </c>
      <c r="G7" s="144" t="inlineStr">
        <is>
          <t>有参转录组（RNA-seq）</t>
        </is>
      </c>
      <c r="H7" s="144" t="inlineStr">
        <is>
          <t>广州奥智生物科技有限公司</t>
        </is>
      </c>
      <c r="I7" s="146" t="n"/>
      <c r="J7" s="144" t="n"/>
      <c r="K7" s="154" t="inlineStr">
        <is>
          <t xml:space="preserve">26.7.29-3-夜_C1 </t>
        </is>
      </c>
      <c r="L7" s="147" t="n"/>
      <c r="M7" s="147" t="n"/>
      <c r="N7" s="147" t="n">
        <v>5.43</v>
      </c>
      <c r="O7" s="147" t="inlineStr">
        <is>
          <t>Illumina Truseq文库</t>
        </is>
      </c>
      <c r="P7" s="147" t="inlineStr">
        <is>
          <t>未磷酸化</t>
        </is>
      </c>
      <c r="Q7" s="147" t="inlineStr">
        <is>
          <t>未环化</t>
        </is>
      </c>
      <c r="R7" s="147" t="inlineStr">
        <is>
          <t>A</t>
        </is>
      </c>
      <c r="S7" s="147" t="n"/>
    </row>
    <row r="8" ht="30" customHeight="1" s="76">
      <c r="A8" s="153" t="n"/>
      <c r="B8" s="144" t="inlineStr">
        <is>
          <t>HGC-Lib-26098267</t>
        </is>
      </c>
      <c r="C8" s="144" t="n">
        <v>1.89</v>
      </c>
      <c r="D8" s="145" t="n">
        <v>5</v>
      </c>
      <c r="E8" s="146">
        <f>ROUND(D8/SUM(D2:D8)*IF(C8="",50,10.0),3)</f>
        <v/>
      </c>
      <c r="F8" s="146">
        <f>ROUND(E8/C8*G9,3)</f>
        <v/>
      </c>
      <c r="G8" s="144" t="inlineStr">
        <is>
          <t>有参转录组（RNA-seq）</t>
        </is>
      </c>
      <c r="H8" s="144" t="inlineStr">
        <is>
          <t>广州奥智生物科技有限公司</t>
        </is>
      </c>
      <c r="I8" s="146" t="n"/>
      <c r="J8" s="144" t="n"/>
      <c r="K8" s="154" t="inlineStr">
        <is>
          <t xml:space="preserve">26.7.29-3-夜_F1 </t>
        </is>
      </c>
      <c r="L8" s="147" t="n"/>
      <c r="M8" s="147" t="n"/>
      <c r="N8" s="147" t="n">
        <v>1.89</v>
      </c>
      <c r="O8" s="147" t="inlineStr">
        <is>
          <t>Illumina Truseq文库</t>
        </is>
      </c>
      <c r="P8" s="147" t="inlineStr">
        <is>
          <t>未磷酸化</t>
        </is>
      </c>
      <c r="Q8" s="147" t="inlineStr">
        <is>
          <t>未环化</t>
        </is>
      </c>
      <c r="R8" s="147" t="inlineStr">
        <is>
          <t>B</t>
        </is>
      </c>
      <c r="S8" s="147" t="inlineStr">
        <is>
          <t>A</t>
        </is>
      </c>
    </row>
    <row r="9" ht="30" customHeight="1" s="76">
      <c r="A9" s="148" t="n"/>
      <c r="B9" s="147" t="n">
        <v>7</v>
      </c>
      <c r="C9" s="148" t="n"/>
      <c r="D9" s="149">
        <f>ROUND(SUM(D2:D8),2)</f>
        <v/>
      </c>
      <c r="E9" s="150">
        <f>ROUND(SUM(E2:E8),3)</f>
        <v/>
      </c>
      <c r="F9" s="150">
        <f>IF(G9&gt;1,ROUND(SUM(F2:F8)/G9*2,3),ROUND(SUM(F2:F8),3))</f>
        <v/>
      </c>
      <c r="G9" s="147" t="n">
        <v>7</v>
      </c>
      <c r="H9" s="148" t="n"/>
      <c r="I9" s="151">
        <f>ROUND(20-F9,3)</f>
        <v/>
      </c>
      <c r="J9" s="148" t="n"/>
      <c r="K9" s="148" t="n"/>
      <c r="L9" s="148" t="n"/>
      <c r="M9" s="147">
        <f>AVERAGE(M2:M8)</f>
        <v/>
      </c>
      <c r="N9" s="148" t="n"/>
      <c r="O9" s="148" t="n"/>
      <c r="P9" s="148" t="n"/>
      <c r="Q9" s="148" t="n"/>
      <c r="R9" s="148" t="n"/>
      <c r="S9" s="148" t="n"/>
    </row>
    <row r="10" ht="30" customHeight="1" s="76">
      <c r="A10" s="144" t="inlineStr">
        <is>
          <t>D2</t>
        </is>
      </c>
      <c r="B10" s="144" t="inlineStr">
        <is>
          <t>HGC-Lib-26098072</t>
        </is>
      </c>
      <c r="C10" s="144" t="n">
        <v>19.41</v>
      </c>
      <c r="D10" s="145" t="n">
        <v>5</v>
      </c>
      <c r="E10" s="146">
        <f>ROUND(D10/SUM(D10:D202)*IF(C10="",50,50.0),3)</f>
        <v/>
      </c>
      <c r="F10" s="146">
        <f>ROUND(E10/C10*G203,3)</f>
        <v/>
      </c>
      <c r="G10" s="144" t="inlineStr">
        <is>
          <t>有参转录组（RNA-seq）</t>
        </is>
      </c>
      <c r="H10" s="144" t="inlineStr">
        <is>
          <t>广州奥智生物科技有限公司</t>
        </is>
      </c>
      <c r="I10" s="146" t="n"/>
      <c r="J10" s="144" t="n"/>
      <c r="K10" s="144" t="inlineStr">
        <is>
          <t xml:space="preserve">26.7.28-4_A1 </t>
        </is>
      </c>
      <c r="L10" s="147" t="n"/>
      <c r="M10" s="147" t="n"/>
      <c r="N10" s="147" t="n">
        <v>19.41</v>
      </c>
      <c r="O10" s="147" t="inlineStr">
        <is>
          <t>Illumina Truseq文库</t>
        </is>
      </c>
      <c r="P10" s="147" t="inlineStr">
        <is>
          <t>未磷酸化</t>
        </is>
      </c>
      <c r="Q10" s="147" t="inlineStr">
        <is>
          <t>未环化</t>
        </is>
      </c>
      <c r="R10" s="147" t="inlineStr">
        <is>
          <t>A</t>
        </is>
      </c>
      <c r="S10" s="147" t="n"/>
    </row>
    <row r="11" ht="30" customHeight="1" s="76">
      <c r="A11" s="152" t="n"/>
      <c r="B11" s="144" t="inlineStr">
        <is>
          <t>HGC-Lib-26098073</t>
        </is>
      </c>
      <c r="C11" s="144" t="n">
        <v>31.29</v>
      </c>
      <c r="D11" s="145" t="n">
        <v>5</v>
      </c>
      <c r="E11" s="146">
        <f>ROUND(D11/SUM(D10:D202)*IF(C11="",50,50.0),3)</f>
        <v/>
      </c>
      <c r="F11" s="146">
        <f>ROUND(E11/C11*G203,3)</f>
        <v/>
      </c>
      <c r="G11" s="144" t="inlineStr">
        <is>
          <t>有参转录组（RNA-seq）</t>
        </is>
      </c>
      <c r="H11" s="144" t="inlineStr">
        <is>
          <t>广州奥智生物科技有限公司</t>
        </is>
      </c>
      <c r="I11" s="146" t="n"/>
      <c r="J11" s="144" t="n"/>
      <c r="K11" s="144" t="inlineStr">
        <is>
          <t xml:space="preserve">26.7.28-4_A2 </t>
        </is>
      </c>
      <c r="L11" s="147" t="n"/>
      <c r="M11" s="147" t="n"/>
      <c r="N11" s="147" t="n">
        <v>31.29</v>
      </c>
      <c r="O11" s="147" t="inlineStr">
        <is>
          <t>Illumina Truseq文库</t>
        </is>
      </c>
      <c r="P11" s="147" t="inlineStr">
        <is>
          <t>未磷酸化</t>
        </is>
      </c>
      <c r="Q11" s="147" t="inlineStr">
        <is>
          <t>未环化</t>
        </is>
      </c>
      <c r="R11" s="147" t="inlineStr">
        <is>
          <t>A</t>
        </is>
      </c>
      <c r="S11" s="147" t="n"/>
    </row>
    <row r="12" ht="30" customHeight="1" s="76">
      <c r="A12" s="152" t="n"/>
      <c r="B12" s="144" t="inlineStr">
        <is>
          <t>HGC-Lib-26098074</t>
        </is>
      </c>
      <c r="C12" s="144" t="n">
        <v>11.44</v>
      </c>
      <c r="D12" s="145" t="n">
        <v>5</v>
      </c>
      <c r="E12" s="146">
        <f>ROUND(D12/SUM(D10:D202)*IF(C12="",50,50.0),3)</f>
        <v/>
      </c>
      <c r="F12" s="146">
        <f>ROUND(E12/C12*G203,3)</f>
        <v/>
      </c>
      <c r="G12" s="144" t="inlineStr">
        <is>
          <t>有参转录组（RNA-seq）</t>
        </is>
      </c>
      <c r="H12" s="144" t="inlineStr">
        <is>
          <t>广州奥智生物科技有限公司</t>
        </is>
      </c>
      <c r="I12" s="146" t="n"/>
      <c r="J12" s="144" t="n"/>
      <c r="K12" s="144" t="inlineStr">
        <is>
          <t xml:space="preserve">26.7.28-4_A3 </t>
        </is>
      </c>
      <c r="L12" s="147" t="n"/>
      <c r="M12" s="147" t="n"/>
      <c r="N12" s="147" t="n">
        <v>11.44</v>
      </c>
      <c r="O12" s="147" t="inlineStr">
        <is>
          <t>Illumina Truseq文库</t>
        </is>
      </c>
      <c r="P12" s="147" t="inlineStr">
        <is>
          <t>未磷酸化</t>
        </is>
      </c>
      <c r="Q12" s="147" t="inlineStr">
        <is>
          <t>未环化</t>
        </is>
      </c>
      <c r="R12" s="147" t="inlineStr">
        <is>
          <t>A</t>
        </is>
      </c>
      <c r="S12" s="147" t="n"/>
    </row>
    <row r="13" ht="30" customHeight="1" s="76">
      <c r="A13" s="152" t="n"/>
      <c r="B13" s="144" t="inlineStr">
        <is>
          <t>HGC-Lib-26098075</t>
        </is>
      </c>
      <c r="C13" s="144" t="n">
        <v>20.23</v>
      </c>
      <c r="D13" s="145" t="n">
        <v>5</v>
      </c>
      <c r="E13" s="146">
        <f>ROUND(D13/SUM(D10:D202)*IF(C13="",50,50.0),3)</f>
        <v/>
      </c>
      <c r="F13" s="146">
        <f>ROUND(E13/C13*G203,3)</f>
        <v/>
      </c>
      <c r="G13" s="144" t="inlineStr">
        <is>
          <t>有参转录组（RNA-seq）</t>
        </is>
      </c>
      <c r="H13" s="144" t="inlineStr">
        <is>
          <t>广州奥智生物科技有限公司</t>
        </is>
      </c>
      <c r="I13" s="146" t="n"/>
      <c r="J13" s="144" t="n"/>
      <c r="K13" s="144" t="inlineStr">
        <is>
          <t xml:space="preserve">26.7.28-4_A4 </t>
        </is>
      </c>
      <c r="L13" s="147" t="n"/>
      <c r="M13" s="147" t="n"/>
      <c r="N13" s="147" t="n">
        <v>20.23</v>
      </c>
      <c r="O13" s="147" t="inlineStr">
        <is>
          <t>Illumina Truseq文库</t>
        </is>
      </c>
      <c r="P13" s="147" t="inlineStr">
        <is>
          <t>未磷酸化</t>
        </is>
      </c>
      <c r="Q13" s="147" t="inlineStr">
        <is>
          <t>未环化</t>
        </is>
      </c>
      <c r="R13" s="147" t="inlineStr">
        <is>
          <t>A</t>
        </is>
      </c>
      <c r="S13" s="147" t="n"/>
    </row>
    <row r="14" ht="30" customHeight="1" s="76">
      <c r="A14" s="152" t="n"/>
      <c r="B14" s="144" t="inlineStr">
        <is>
          <t>HGC-Lib-26098076</t>
        </is>
      </c>
      <c r="C14" s="144" t="n">
        <v>27.04</v>
      </c>
      <c r="D14" s="145" t="n">
        <v>5</v>
      </c>
      <c r="E14" s="146">
        <f>ROUND(D14/SUM(D10:D202)*IF(C14="",50,50.0),3)</f>
        <v/>
      </c>
      <c r="F14" s="146">
        <f>ROUND(E14/C14*G203,3)</f>
        <v/>
      </c>
      <c r="G14" s="144" t="inlineStr">
        <is>
          <t>有参转录组（RNA-seq）</t>
        </is>
      </c>
      <c r="H14" s="144" t="inlineStr">
        <is>
          <t>广州奥智生物科技有限公司</t>
        </is>
      </c>
      <c r="I14" s="146" t="n"/>
      <c r="J14" s="144" t="n"/>
      <c r="K14" s="144" t="inlineStr">
        <is>
          <t xml:space="preserve">26.7.28-4_A5 </t>
        </is>
      </c>
      <c r="L14" s="147" t="n"/>
      <c r="M14" s="147" t="n"/>
      <c r="N14" s="147" t="n">
        <v>27.04</v>
      </c>
      <c r="O14" s="147" t="inlineStr">
        <is>
          <t>Illumina Truseq文库</t>
        </is>
      </c>
      <c r="P14" s="147" t="inlineStr">
        <is>
          <t>未磷酸化</t>
        </is>
      </c>
      <c r="Q14" s="147" t="inlineStr">
        <is>
          <t>未环化</t>
        </is>
      </c>
      <c r="R14" s="147" t="inlineStr">
        <is>
          <t>A</t>
        </is>
      </c>
      <c r="S14" s="147" t="n"/>
    </row>
    <row r="15" ht="30" customHeight="1" s="76">
      <c r="A15" s="152" t="n"/>
      <c r="B15" s="144" t="inlineStr">
        <is>
          <t>HGC-Lib-26098077</t>
        </is>
      </c>
      <c r="C15" s="144" t="n">
        <v>36.66</v>
      </c>
      <c r="D15" s="145" t="n">
        <v>5</v>
      </c>
      <c r="E15" s="146">
        <f>ROUND(D15/SUM(D10:D202)*IF(C15="",50,50.0),3)</f>
        <v/>
      </c>
      <c r="F15" s="146">
        <f>ROUND(E15/C15*G203,3)</f>
        <v/>
      </c>
      <c r="G15" s="144" t="inlineStr">
        <is>
          <t>有参转录组（RNA-seq）</t>
        </is>
      </c>
      <c r="H15" s="144" t="inlineStr">
        <is>
          <t>广州奥智生物科技有限公司</t>
        </is>
      </c>
      <c r="I15" s="146" t="n"/>
      <c r="J15" s="144" t="n"/>
      <c r="K15" s="144" t="inlineStr">
        <is>
          <t xml:space="preserve">26.7.28-4_A6 </t>
        </is>
      </c>
      <c r="L15" s="147" t="n"/>
      <c r="M15" s="147" t="n"/>
      <c r="N15" s="147" t="n">
        <v>36.66</v>
      </c>
      <c r="O15" s="147" t="inlineStr">
        <is>
          <t>Illumina Truseq文库</t>
        </is>
      </c>
      <c r="P15" s="147" t="inlineStr">
        <is>
          <t>未磷酸化</t>
        </is>
      </c>
      <c r="Q15" s="147" t="inlineStr">
        <is>
          <t>未环化</t>
        </is>
      </c>
      <c r="R15" s="147" t="inlineStr">
        <is>
          <t>A</t>
        </is>
      </c>
      <c r="S15" s="147" t="n"/>
    </row>
    <row r="16" ht="30" customHeight="1" s="76">
      <c r="A16" s="152" t="n"/>
      <c r="B16" s="144" t="inlineStr">
        <is>
          <t>HGC-Lib-26098078</t>
        </is>
      </c>
      <c r="C16" s="144" t="n">
        <v>27.24</v>
      </c>
      <c r="D16" s="145" t="n">
        <v>5</v>
      </c>
      <c r="E16" s="146">
        <f>ROUND(D16/SUM(D10:D202)*IF(C16="",50,50.0),3)</f>
        <v/>
      </c>
      <c r="F16" s="146">
        <f>ROUND(E16/C16*G203,3)</f>
        <v/>
      </c>
      <c r="G16" s="144" t="inlineStr">
        <is>
          <t>有参转录组（RNA-seq）</t>
        </is>
      </c>
      <c r="H16" s="144" t="inlineStr">
        <is>
          <t>广州奥智生物科技有限公司</t>
        </is>
      </c>
      <c r="I16" s="146" t="n"/>
      <c r="J16" s="144" t="n"/>
      <c r="K16" s="144" t="inlineStr">
        <is>
          <t xml:space="preserve">26.7.28-4_A7 </t>
        </is>
      </c>
      <c r="L16" s="147" t="n"/>
      <c r="M16" s="147" t="n"/>
      <c r="N16" s="147" t="n">
        <v>27.24</v>
      </c>
      <c r="O16" s="147" t="inlineStr">
        <is>
          <t>Illumina Truseq文库</t>
        </is>
      </c>
      <c r="P16" s="147" t="inlineStr">
        <is>
          <t>未磷酸化</t>
        </is>
      </c>
      <c r="Q16" s="147" t="inlineStr">
        <is>
          <t>未环化</t>
        </is>
      </c>
      <c r="R16" s="147" t="inlineStr">
        <is>
          <t>A</t>
        </is>
      </c>
      <c r="S16" s="147" t="n"/>
    </row>
    <row r="17" ht="30" customHeight="1" s="76">
      <c r="A17" s="152" t="n"/>
      <c r="B17" s="144" t="inlineStr">
        <is>
          <t>HGC-Lib-26098079</t>
        </is>
      </c>
      <c r="C17" s="144" t="n">
        <v>23.31</v>
      </c>
      <c r="D17" s="145" t="n">
        <v>5</v>
      </c>
      <c r="E17" s="146">
        <f>ROUND(D17/SUM(D10:D202)*IF(C17="",50,50.0),3)</f>
        <v/>
      </c>
      <c r="F17" s="146">
        <f>ROUND(E17/C17*G203,3)</f>
        <v/>
      </c>
      <c r="G17" s="144" t="inlineStr">
        <is>
          <t>有参转录组（RNA-seq）</t>
        </is>
      </c>
      <c r="H17" s="144" t="inlineStr">
        <is>
          <t>广州奥智生物科技有限公司</t>
        </is>
      </c>
      <c r="I17" s="146" t="n"/>
      <c r="J17" s="144" t="n"/>
      <c r="K17" s="144" t="inlineStr">
        <is>
          <t xml:space="preserve">26.7.28-4_A8 </t>
        </is>
      </c>
      <c r="L17" s="147" t="n"/>
      <c r="M17" s="147" t="n"/>
      <c r="N17" s="147" t="n">
        <v>23.31</v>
      </c>
      <c r="O17" s="147" t="inlineStr">
        <is>
          <t>Illumina Truseq文库</t>
        </is>
      </c>
      <c r="P17" s="147" t="inlineStr">
        <is>
          <t>未磷酸化</t>
        </is>
      </c>
      <c r="Q17" s="147" t="inlineStr">
        <is>
          <t>未环化</t>
        </is>
      </c>
      <c r="R17" s="147" t="inlineStr">
        <is>
          <t>A</t>
        </is>
      </c>
      <c r="S17" s="147" t="n"/>
    </row>
    <row r="18" ht="30" customHeight="1" s="76">
      <c r="A18" s="152" t="n"/>
      <c r="B18" s="144" t="inlineStr">
        <is>
          <t>HGC-Lib-26098080</t>
        </is>
      </c>
      <c r="C18" s="144" t="n">
        <v>13.51</v>
      </c>
      <c r="D18" s="145" t="n">
        <v>5</v>
      </c>
      <c r="E18" s="146">
        <f>ROUND(D18/SUM(D10:D202)*IF(C18="",50,50.0),3)</f>
        <v/>
      </c>
      <c r="F18" s="146">
        <f>ROUND(E18/C18*G203,3)</f>
        <v/>
      </c>
      <c r="G18" s="144" t="inlineStr">
        <is>
          <t>有参转录组（RNA-seq）</t>
        </is>
      </c>
      <c r="H18" s="144" t="inlineStr">
        <is>
          <t>广州奥智生物科技有限公司</t>
        </is>
      </c>
      <c r="I18" s="146" t="n"/>
      <c r="J18" s="144" t="n"/>
      <c r="K18" s="144" t="inlineStr">
        <is>
          <t xml:space="preserve">26.7.28-4_A9 </t>
        </is>
      </c>
      <c r="L18" s="147" t="n"/>
      <c r="M18" s="147" t="n"/>
      <c r="N18" s="147" t="n">
        <v>13.51</v>
      </c>
      <c r="O18" s="147" t="inlineStr">
        <is>
          <t>Illumina Truseq文库</t>
        </is>
      </c>
      <c r="P18" s="147" t="inlineStr">
        <is>
          <t>未磷酸化</t>
        </is>
      </c>
      <c r="Q18" s="147" t="inlineStr">
        <is>
          <t>未环化</t>
        </is>
      </c>
      <c r="R18" s="147" t="inlineStr">
        <is>
          <t>A</t>
        </is>
      </c>
      <c r="S18" s="147" t="n"/>
    </row>
    <row r="19" ht="30" customHeight="1" s="76">
      <c r="A19" s="152" t="n"/>
      <c r="B19" s="144" t="inlineStr">
        <is>
          <t>HGC-Lib-26098081</t>
        </is>
      </c>
      <c r="C19" s="144" t="n">
        <v>22.71</v>
      </c>
      <c r="D19" s="145" t="n">
        <v>5</v>
      </c>
      <c r="E19" s="146">
        <f>ROUND(D19/SUM(D10:D202)*IF(C19="",50,50.0),3)</f>
        <v/>
      </c>
      <c r="F19" s="146">
        <f>ROUND(E19/C19*G203,3)</f>
        <v/>
      </c>
      <c r="G19" s="144" t="inlineStr">
        <is>
          <t>有参转录组（RNA-seq）</t>
        </is>
      </c>
      <c r="H19" s="144" t="inlineStr">
        <is>
          <t>广州奥智生物科技有限公司</t>
        </is>
      </c>
      <c r="I19" s="146" t="n"/>
      <c r="J19" s="144" t="n"/>
      <c r="K19" s="144" t="inlineStr">
        <is>
          <t xml:space="preserve">26.7.28-4_A10 </t>
        </is>
      </c>
      <c r="L19" s="147" t="n"/>
      <c r="M19" s="147" t="n"/>
      <c r="N19" s="147" t="n">
        <v>22.71</v>
      </c>
      <c r="O19" s="147" t="inlineStr">
        <is>
          <t>Illumina Truseq文库</t>
        </is>
      </c>
      <c r="P19" s="147" t="inlineStr">
        <is>
          <t>未磷酸化</t>
        </is>
      </c>
      <c r="Q19" s="147" t="inlineStr">
        <is>
          <t>未环化</t>
        </is>
      </c>
      <c r="R19" s="147" t="inlineStr">
        <is>
          <t>A</t>
        </is>
      </c>
      <c r="S19" s="147" t="n"/>
    </row>
    <row r="20" ht="30" customHeight="1" s="76">
      <c r="A20" s="152" t="n"/>
      <c r="B20" s="144" t="inlineStr">
        <is>
          <t>HGC-Lib-26098082</t>
        </is>
      </c>
      <c r="C20" s="144" t="n">
        <v>16.89</v>
      </c>
      <c r="D20" s="145" t="n">
        <v>5</v>
      </c>
      <c r="E20" s="146">
        <f>ROUND(D20/SUM(D10:D202)*IF(C20="",50,50.0),3)</f>
        <v/>
      </c>
      <c r="F20" s="146">
        <f>ROUND(E20/C20*G203,3)</f>
        <v/>
      </c>
      <c r="G20" s="144" t="inlineStr">
        <is>
          <t>有参转录组（RNA-seq）</t>
        </is>
      </c>
      <c r="H20" s="144" t="inlineStr">
        <is>
          <t>广州奥智生物科技有限公司</t>
        </is>
      </c>
      <c r="I20" s="146" t="n"/>
      <c r="J20" s="144" t="n"/>
      <c r="K20" s="144" t="inlineStr">
        <is>
          <t xml:space="preserve">26.7.28-4_A11 </t>
        </is>
      </c>
      <c r="L20" s="147" t="n"/>
      <c r="M20" s="147" t="n"/>
      <c r="N20" s="147" t="n">
        <v>16.89</v>
      </c>
      <c r="O20" s="147" t="inlineStr">
        <is>
          <t>Illumina Truseq文库</t>
        </is>
      </c>
      <c r="P20" s="147" t="inlineStr">
        <is>
          <t>未磷酸化</t>
        </is>
      </c>
      <c r="Q20" s="147" t="inlineStr">
        <is>
          <t>未环化</t>
        </is>
      </c>
      <c r="R20" s="147" t="inlineStr">
        <is>
          <t>A</t>
        </is>
      </c>
      <c r="S20" s="147" t="n"/>
    </row>
    <row r="21" ht="30" customHeight="1" s="76">
      <c r="A21" s="152" t="n"/>
      <c r="B21" s="144" t="inlineStr">
        <is>
          <t>HGC-Lib-26098083</t>
        </is>
      </c>
      <c r="C21" s="144" t="n">
        <v>24.92</v>
      </c>
      <c r="D21" s="145" t="n">
        <v>5</v>
      </c>
      <c r="E21" s="146">
        <f>ROUND(D21/SUM(D10:D202)*IF(C21="",50,50.0),3)</f>
        <v/>
      </c>
      <c r="F21" s="146">
        <f>ROUND(E21/C21*G203,3)</f>
        <v/>
      </c>
      <c r="G21" s="144" t="inlineStr">
        <is>
          <t>有参转录组（RNA-seq）</t>
        </is>
      </c>
      <c r="H21" s="144" t="inlineStr">
        <is>
          <t>广州奥智生物科技有限公司</t>
        </is>
      </c>
      <c r="I21" s="146" t="n"/>
      <c r="J21" s="144" t="n"/>
      <c r="K21" s="144" t="inlineStr">
        <is>
          <t xml:space="preserve">26.7.28-4_A12 </t>
        </is>
      </c>
      <c r="L21" s="147" t="n"/>
      <c r="M21" s="147" t="n"/>
      <c r="N21" s="147" t="n">
        <v>24.92</v>
      </c>
      <c r="O21" s="147" t="inlineStr">
        <is>
          <t>Illumina Truseq文库</t>
        </is>
      </c>
      <c r="P21" s="147" t="inlineStr">
        <is>
          <t>未磷酸化</t>
        </is>
      </c>
      <c r="Q21" s="147" t="inlineStr">
        <is>
          <t>未环化</t>
        </is>
      </c>
      <c r="R21" s="147" t="inlineStr">
        <is>
          <t>A</t>
        </is>
      </c>
      <c r="S21" s="147" t="n"/>
    </row>
    <row r="22" ht="30" customHeight="1" s="76">
      <c r="A22" s="152" t="n"/>
      <c r="B22" s="144" t="inlineStr">
        <is>
          <t>HGC-Lib-26098084</t>
        </is>
      </c>
      <c r="C22" s="144" t="n">
        <v>34.16</v>
      </c>
      <c r="D22" s="145" t="n">
        <v>5</v>
      </c>
      <c r="E22" s="146">
        <f>ROUND(D22/SUM(D10:D202)*IF(C22="",50,50.0),3)</f>
        <v/>
      </c>
      <c r="F22" s="146">
        <f>ROUND(E22/C22*G203,3)</f>
        <v/>
      </c>
      <c r="G22" s="144" t="inlineStr">
        <is>
          <t>有参转录组（RNA-seq）</t>
        </is>
      </c>
      <c r="H22" s="144" t="inlineStr">
        <is>
          <t>广州奥智生物科技有限公司</t>
        </is>
      </c>
      <c r="I22" s="146" t="n"/>
      <c r="J22" s="144" t="n"/>
      <c r="K22" s="144" t="inlineStr">
        <is>
          <t xml:space="preserve">26.7.28-4_B1 </t>
        </is>
      </c>
      <c r="L22" s="147" t="n"/>
      <c r="M22" s="147" t="n"/>
      <c r="N22" s="147" t="n">
        <v>34.16</v>
      </c>
      <c r="O22" s="147" t="inlineStr">
        <is>
          <t>Illumina Truseq文库</t>
        </is>
      </c>
      <c r="P22" s="147" t="inlineStr">
        <is>
          <t>未磷酸化</t>
        </is>
      </c>
      <c r="Q22" s="147" t="inlineStr">
        <is>
          <t>未环化</t>
        </is>
      </c>
      <c r="R22" s="147" t="inlineStr">
        <is>
          <t>A</t>
        </is>
      </c>
      <c r="S22" s="147" t="n"/>
    </row>
    <row r="23" ht="30" customHeight="1" s="76">
      <c r="A23" s="152" t="n"/>
      <c r="B23" s="144" t="inlineStr">
        <is>
          <t>HGC-Lib-26098085</t>
        </is>
      </c>
      <c r="C23" s="144" t="n">
        <v>41.76</v>
      </c>
      <c r="D23" s="145" t="n">
        <v>5</v>
      </c>
      <c r="E23" s="146">
        <f>ROUND(D23/SUM(D10:D202)*IF(C23="",50,50.0),3)</f>
        <v/>
      </c>
      <c r="F23" s="146">
        <f>ROUND(E23/C23*G203,3)</f>
        <v/>
      </c>
      <c r="G23" s="144" t="inlineStr">
        <is>
          <t>有参转录组（RNA-seq）</t>
        </is>
      </c>
      <c r="H23" s="144" t="inlineStr">
        <is>
          <t>广州奥智生物科技有限公司</t>
        </is>
      </c>
      <c r="I23" s="146" t="n"/>
      <c r="J23" s="144" t="n"/>
      <c r="K23" s="144" t="inlineStr">
        <is>
          <t xml:space="preserve">26.7.28-4_B2 </t>
        </is>
      </c>
      <c r="L23" s="147" t="n"/>
      <c r="M23" s="147" t="n"/>
      <c r="N23" s="147" t="n">
        <v>41.76</v>
      </c>
      <c r="O23" s="147" t="inlineStr">
        <is>
          <t>Illumina Truseq文库</t>
        </is>
      </c>
      <c r="P23" s="147" t="inlineStr">
        <is>
          <t>未磷酸化</t>
        </is>
      </c>
      <c r="Q23" s="147" t="inlineStr">
        <is>
          <t>未环化</t>
        </is>
      </c>
      <c r="R23" s="147" t="inlineStr">
        <is>
          <t>A</t>
        </is>
      </c>
      <c r="S23" s="147" t="n"/>
    </row>
    <row r="24" ht="30" customHeight="1" s="76">
      <c r="A24" s="152" t="n"/>
      <c r="B24" s="144" t="inlineStr">
        <is>
          <t>HGC-Lib-26098086</t>
        </is>
      </c>
      <c r="C24" s="144" t="n">
        <v>25.13</v>
      </c>
      <c r="D24" s="145" t="n">
        <v>5</v>
      </c>
      <c r="E24" s="146">
        <f>ROUND(D24/SUM(D10:D202)*IF(C24="",50,50.0),3)</f>
        <v/>
      </c>
      <c r="F24" s="146">
        <f>ROUND(E24/C24*G203,3)</f>
        <v/>
      </c>
      <c r="G24" s="144" t="inlineStr">
        <is>
          <t>有参转录组（RNA-seq）</t>
        </is>
      </c>
      <c r="H24" s="144" t="inlineStr">
        <is>
          <t>广州奥智生物科技有限公司</t>
        </is>
      </c>
      <c r="I24" s="146" t="n"/>
      <c r="J24" s="144" t="n"/>
      <c r="K24" s="144" t="inlineStr">
        <is>
          <t xml:space="preserve">26.7.28-4_B3 </t>
        </is>
      </c>
      <c r="L24" s="147" t="n"/>
      <c r="M24" s="147" t="n"/>
      <c r="N24" s="147" t="n">
        <v>25.13</v>
      </c>
      <c r="O24" s="147" t="inlineStr">
        <is>
          <t>Illumina Truseq文库</t>
        </is>
      </c>
      <c r="P24" s="147" t="inlineStr">
        <is>
          <t>未磷酸化</t>
        </is>
      </c>
      <c r="Q24" s="147" t="inlineStr">
        <is>
          <t>未环化</t>
        </is>
      </c>
      <c r="R24" s="147" t="inlineStr">
        <is>
          <t>A</t>
        </is>
      </c>
      <c r="S24" s="147" t="n"/>
    </row>
    <row r="25" ht="30" customHeight="1" s="76">
      <c r="A25" s="152" t="n"/>
      <c r="B25" s="144" t="inlineStr">
        <is>
          <t>HGC-Lib-26098087</t>
        </is>
      </c>
      <c r="C25" s="144" t="n">
        <v>20.83</v>
      </c>
      <c r="D25" s="145" t="n">
        <v>5</v>
      </c>
      <c r="E25" s="146">
        <f>ROUND(D25/SUM(D10:D202)*IF(C25="",50,50.0),3)</f>
        <v/>
      </c>
      <c r="F25" s="146">
        <f>ROUND(E25/C25*G203,3)</f>
        <v/>
      </c>
      <c r="G25" s="144" t="inlineStr">
        <is>
          <t>有参转录组（RNA-seq）</t>
        </is>
      </c>
      <c r="H25" s="144" t="inlineStr">
        <is>
          <t>广州奥智生物科技有限公司</t>
        </is>
      </c>
      <c r="I25" s="146" t="n"/>
      <c r="J25" s="144" t="n"/>
      <c r="K25" s="144" t="inlineStr">
        <is>
          <t xml:space="preserve">26.7.28-4_B4 </t>
        </is>
      </c>
      <c r="L25" s="147" t="n"/>
      <c r="M25" s="147" t="n"/>
      <c r="N25" s="147" t="n">
        <v>20.83</v>
      </c>
      <c r="O25" s="147" t="inlineStr">
        <is>
          <t>Illumina Truseq文库</t>
        </is>
      </c>
      <c r="P25" s="147" t="inlineStr">
        <is>
          <t>未磷酸化</t>
        </is>
      </c>
      <c r="Q25" s="147" t="inlineStr">
        <is>
          <t>未环化</t>
        </is>
      </c>
      <c r="R25" s="147" t="inlineStr">
        <is>
          <t>A</t>
        </is>
      </c>
      <c r="S25" s="147" t="n"/>
    </row>
    <row r="26" ht="30" customHeight="1" s="76">
      <c r="A26" s="152" t="n"/>
      <c r="B26" s="144" t="inlineStr">
        <is>
          <t>HGC-Lib-26098088</t>
        </is>
      </c>
      <c r="C26" s="144" t="n">
        <v>31.09</v>
      </c>
      <c r="D26" s="145" t="n">
        <v>5</v>
      </c>
      <c r="E26" s="146">
        <f>ROUND(D26/SUM(D10:D202)*IF(C26="",50,50.0),3)</f>
        <v/>
      </c>
      <c r="F26" s="146">
        <f>ROUND(E26/C26*G203,3)</f>
        <v/>
      </c>
      <c r="G26" s="144" t="inlineStr">
        <is>
          <t>有参转录组（RNA-seq）</t>
        </is>
      </c>
      <c r="H26" s="144" t="inlineStr">
        <is>
          <t>广州奥智生物科技有限公司</t>
        </is>
      </c>
      <c r="I26" s="146" t="n"/>
      <c r="J26" s="144" t="n"/>
      <c r="K26" s="144" t="inlineStr">
        <is>
          <t xml:space="preserve">26.7.28-4_B5 </t>
        </is>
      </c>
      <c r="L26" s="147" t="n"/>
      <c r="M26" s="147" t="n"/>
      <c r="N26" s="147" t="n">
        <v>31.09</v>
      </c>
      <c r="O26" s="147" t="inlineStr">
        <is>
          <t>Illumina Truseq文库</t>
        </is>
      </c>
      <c r="P26" s="147" t="inlineStr">
        <is>
          <t>未磷酸化</t>
        </is>
      </c>
      <c r="Q26" s="147" t="inlineStr">
        <is>
          <t>未环化</t>
        </is>
      </c>
      <c r="R26" s="147" t="inlineStr">
        <is>
          <t>A</t>
        </is>
      </c>
      <c r="S26" s="147" t="n"/>
    </row>
    <row r="27" ht="30" customHeight="1" s="76">
      <c r="A27" s="152" t="n"/>
      <c r="B27" s="144" t="inlineStr">
        <is>
          <t>HGC-Lib-26098089</t>
        </is>
      </c>
      <c r="C27" s="144" t="n">
        <v>17.81</v>
      </c>
      <c r="D27" s="145" t="n">
        <v>5</v>
      </c>
      <c r="E27" s="146">
        <f>ROUND(D27/SUM(D10:D202)*IF(C27="",50,50.0),3)</f>
        <v/>
      </c>
      <c r="F27" s="146">
        <f>ROUND(E27/C27*G203,3)</f>
        <v/>
      </c>
      <c r="G27" s="144" t="inlineStr">
        <is>
          <t>有参转录组（RNA-seq）</t>
        </is>
      </c>
      <c r="H27" s="144" t="inlineStr">
        <is>
          <t>广州奥智生物科技有限公司</t>
        </is>
      </c>
      <c r="I27" s="146" t="n"/>
      <c r="J27" s="144" t="n"/>
      <c r="K27" s="144" t="inlineStr">
        <is>
          <t xml:space="preserve">26.7.28-4_B6 </t>
        </is>
      </c>
      <c r="L27" s="147" t="n"/>
      <c r="M27" s="147" t="n"/>
      <c r="N27" s="147" t="n">
        <v>17.81</v>
      </c>
      <c r="O27" s="147" t="inlineStr">
        <is>
          <t>Illumina Truseq文库</t>
        </is>
      </c>
      <c r="P27" s="147" t="inlineStr">
        <is>
          <t>未磷酸化</t>
        </is>
      </c>
      <c r="Q27" s="147" t="inlineStr">
        <is>
          <t>未环化</t>
        </is>
      </c>
      <c r="R27" s="147" t="inlineStr">
        <is>
          <t>A</t>
        </is>
      </c>
      <c r="S27" s="147" t="n"/>
    </row>
    <row r="28" ht="30" customHeight="1" s="76">
      <c r="A28" s="152" t="n"/>
      <c r="B28" s="144" t="inlineStr">
        <is>
          <t>HGC-Lib-26098090</t>
        </is>
      </c>
      <c r="C28" s="144" t="n">
        <v>28.54</v>
      </c>
      <c r="D28" s="145" t="n">
        <v>5</v>
      </c>
      <c r="E28" s="146">
        <f>ROUND(D28/SUM(D10:D202)*IF(C28="",50,50.0),3)</f>
        <v/>
      </c>
      <c r="F28" s="146">
        <f>ROUND(E28/C28*G203,3)</f>
        <v/>
      </c>
      <c r="G28" s="144" t="inlineStr">
        <is>
          <t>有参转录组（RNA-seq）</t>
        </is>
      </c>
      <c r="H28" s="144" t="inlineStr">
        <is>
          <t>广州奥智生物科技有限公司</t>
        </is>
      </c>
      <c r="I28" s="146" t="n"/>
      <c r="J28" s="144" t="n"/>
      <c r="K28" s="144" t="inlineStr">
        <is>
          <t xml:space="preserve">26.7.28-4_B7 </t>
        </is>
      </c>
      <c r="L28" s="147" t="n"/>
      <c r="M28" s="147" t="n"/>
      <c r="N28" s="147" t="n">
        <v>28.54</v>
      </c>
      <c r="O28" s="147" t="inlineStr">
        <is>
          <t>Illumina Truseq文库</t>
        </is>
      </c>
      <c r="P28" s="147" t="inlineStr">
        <is>
          <t>未磷酸化</t>
        </is>
      </c>
      <c r="Q28" s="147" t="inlineStr">
        <is>
          <t>未环化</t>
        </is>
      </c>
      <c r="R28" s="147" t="inlineStr">
        <is>
          <t>A</t>
        </is>
      </c>
      <c r="S28" s="147" t="n"/>
    </row>
    <row r="29" ht="30" customHeight="1" s="76">
      <c r="A29" s="152" t="n"/>
      <c r="B29" s="144" t="inlineStr">
        <is>
          <t>HGC-Lib-26098091</t>
        </is>
      </c>
      <c r="C29" s="144" t="n">
        <v>34.55</v>
      </c>
      <c r="D29" s="145" t="n">
        <v>5</v>
      </c>
      <c r="E29" s="146">
        <f>ROUND(D29/SUM(D10:D202)*IF(C29="",50,50.0),3)</f>
        <v/>
      </c>
      <c r="F29" s="146">
        <f>ROUND(E29/C29*G203,3)</f>
        <v/>
      </c>
      <c r="G29" s="144" t="inlineStr">
        <is>
          <t>有参转录组（RNA-seq）</t>
        </is>
      </c>
      <c r="H29" s="144" t="inlineStr">
        <is>
          <t>广州奥智生物科技有限公司</t>
        </is>
      </c>
      <c r="I29" s="146" t="n"/>
      <c r="J29" s="144" t="n"/>
      <c r="K29" s="144" t="inlineStr">
        <is>
          <t xml:space="preserve">26.7.28-4_B8 </t>
        </is>
      </c>
      <c r="L29" s="147" t="n"/>
      <c r="M29" s="147" t="n"/>
      <c r="N29" s="147" t="n">
        <v>34.55</v>
      </c>
      <c r="O29" s="147" t="inlineStr">
        <is>
          <t>Illumina Truseq文库</t>
        </is>
      </c>
      <c r="P29" s="147" t="inlineStr">
        <is>
          <t>未磷酸化</t>
        </is>
      </c>
      <c r="Q29" s="147" t="inlineStr">
        <is>
          <t>未环化</t>
        </is>
      </c>
      <c r="R29" s="147" t="inlineStr">
        <is>
          <t>A</t>
        </is>
      </c>
      <c r="S29" s="147" t="n"/>
    </row>
    <row r="30" ht="30" customHeight="1" s="76">
      <c r="A30" s="152" t="n"/>
      <c r="B30" s="144" t="inlineStr">
        <is>
          <t>HGC-Lib-26098092</t>
        </is>
      </c>
      <c r="C30" s="144" t="n">
        <v>36.44</v>
      </c>
      <c r="D30" s="145" t="n">
        <v>5</v>
      </c>
      <c r="E30" s="146">
        <f>ROUND(D30/SUM(D10:D202)*IF(C30="",50,50.0),3)</f>
        <v/>
      </c>
      <c r="F30" s="146">
        <f>ROUND(E30/C30*G203,3)</f>
        <v/>
      </c>
      <c r="G30" s="144" t="inlineStr">
        <is>
          <t>有参转录组（RNA-seq）</t>
        </is>
      </c>
      <c r="H30" s="144" t="inlineStr">
        <is>
          <t>广州奥智生物科技有限公司</t>
        </is>
      </c>
      <c r="I30" s="146" t="n"/>
      <c r="J30" s="144" t="n"/>
      <c r="K30" s="144" t="inlineStr">
        <is>
          <t xml:space="preserve">26.7.28-4_B9 </t>
        </is>
      </c>
      <c r="L30" s="147" t="n"/>
      <c r="M30" s="147" t="n"/>
      <c r="N30" s="147" t="n">
        <v>36.44</v>
      </c>
      <c r="O30" s="147" t="inlineStr">
        <is>
          <t>Illumina Truseq文库</t>
        </is>
      </c>
      <c r="P30" s="147" t="inlineStr">
        <is>
          <t>未磷酸化</t>
        </is>
      </c>
      <c r="Q30" s="147" t="inlineStr">
        <is>
          <t>未环化</t>
        </is>
      </c>
      <c r="R30" s="147" t="inlineStr">
        <is>
          <t>A</t>
        </is>
      </c>
      <c r="S30" s="147" t="n"/>
    </row>
    <row r="31" ht="30" customHeight="1" s="76">
      <c r="A31" s="152" t="n"/>
      <c r="B31" s="144" t="inlineStr">
        <is>
          <t>HGC-Lib-26098093</t>
        </is>
      </c>
      <c r="C31" s="144" t="n">
        <v>40.61</v>
      </c>
      <c r="D31" s="145" t="n">
        <v>5</v>
      </c>
      <c r="E31" s="146">
        <f>ROUND(D31/SUM(D10:D202)*IF(C31="",50,50.0),3)</f>
        <v/>
      </c>
      <c r="F31" s="146">
        <f>ROUND(E31/C31*G203,3)</f>
        <v/>
      </c>
      <c r="G31" s="144" t="inlineStr">
        <is>
          <t>有参转录组（RNA-seq）</t>
        </is>
      </c>
      <c r="H31" s="144" t="inlineStr">
        <is>
          <t>广州奥智生物科技有限公司</t>
        </is>
      </c>
      <c r="I31" s="146" t="n"/>
      <c r="J31" s="144" t="n"/>
      <c r="K31" s="144" t="inlineStr">
        <is>
          <t xml:space="preserve">26.7.28-4_B10 </t>
        </is>
      </c>
      <c r="L31" s="147" t="n"/>
      <c r="M31" s="147" t="n"/>
      <c r="N31" s="147" t="n">
        <v>40.61</v>
      </c>
      <c r="O31" s="147" t="inlineStr">
        <is>
          <t>Illumina Truseq文库</t>
        </is>
      </c>
      <c r="P31" s="147" t="inlineStr">
        <is>
          <t>未磷酸化</t>
        </is>
      </c>
      <c r="Q31" s="147" t="inlineStr">
        <is>
          <t>未环化</t>
        </is>
      </c>
      <c r="R31" s="147" t="inlineStr">
        <is>
          <t>A</t>
        </is>
      </c>
      <c r="S31" s="147" t="n"/>
    </row>
    <row r="32" ht="30" customHeight="1" s="76">
      <c r="A32" s="152" t="n"/>
      <c r="B32" s="144" t="inlineStr">
        <is>
          <t>HGC-Lib-26098094</t>
        </is>
      </c>
      <c r="C32" s="144" t="n">
        <v>16.57</v>
      </c>
      <c r="D32" s="145" t="n">
        <v>5</v>
      </c>
      <c r="E32" s="146">
        <f>ROUND(D32/SUM(D10:D202)*IF(C32="",50,50.0),3)</f>
        <v/>
      </c>
      <c r="F32" s="146">
        <f>ROUND(E32/C32*G203,3)</f>
        <v/>
      </c>
      <c r="G32" s="144" t="inlineStr">
        <is>
          <t>有参转录组（RNA-seq）</t>
        </is>
      </c>
      <c r="H32" s="144" t="inlineStr">
        <is>
          <t>广州奥智生物科技有限公司</t>
        </is>
      </c>
      <c r="I32" s="146" t="n"/>
      <c r="J32" s="144" t="n"/>
      <c r="K32" s="144" t="inlineStr">
        <is>
          <t xml:space="preserve">26.7.28-4_B11 </t>
        </is>
      </c>
      <c r="L32" s="147" t="n"/>
      <c r="M32" s="147" t="n"/>
      <c r="N32" s="147" t="n">
        <v>16.57</v>
      </c>
      <c r="O32" s="147" t="inlineStr">
        <is>
          <t>Illumina Truseq文库</t>
        </is>
      </c>
      <c r="P32" s="147" t="inlineStr">
        <is>
          <t>未磷酸化</t>
        </is>
      </c>
      <c r="Q32" s="147" t="inlineStr">
        <is>
          <t>未环化</t>
        </is>
      </c>
      <c r="R32" s="147" t="inlineStr">
        <is>
          <t>A</t>
        </is>
      </c>
      <c r="S32" s="147" t="n"/>
    </row>
    <row r="33" ht="30" customHeight="1" s="76">
      <c r="A33" s="152" t="n"/>
      <c r="B33" s="144" t="inlineStr">
        <is>
          <t>HGC-Lib-26098095</t>
        </is>
      </c>
      <c r="C33" s="144" t="n">
        <v>22.41</v>
      </c>
      <c r="D33" s="145" t="n">
        <v>5</v>
      </c>
      <c r="E33" s="146">
        <f>ROUND(D33/SUM(D10:D202)*IF(C33="",50,50.0),3)</f>
        <v/>
      </c>
      <c r="F33" s="146">
        <f>ROUND(E33/C33*G203,3)</f>
        <v/>
      </c>
      <c r="G33" s="144" t="inlineStr">
        <is>
          <t>有参转录组（RNA-seq）</t>
        </is>
      </c>
      <c r="H33" s="144" t="inlineStr">
        <is>
          <t>广州奥智生物科技有限公司</t>
        </is>
      </c>
      <c r="I33" s="146" t="n"/>
      <c r="J33" s="144" t="n"/>
      <c r="K33" s="144" t="inlineStr">
        <is>
          <t xml:space="preserve">26.7.28-4_B12 </t>
        </is>
      </c>
      <c r="L33" s="147" t="n"/>
      <c r="M33" s="147" t="n"/>
      <c r="N33" s="147" t="n">
        <v>22.41</v>
      </c>
      <c r="O33" s="147" t="inlineStr">
        <is>
          <t>Illumina Truseq文库</t>
        </is>
      </c>
      <c r="P33" s="147" t="inlineStr">
        <is>
          <t>未磷酸化</t>
        </is>
      </c>
      <c r="Q33" s="147" t="inlineStr">
        <is>
          <t>未环化</t>
        </is>
      </c>
      <c r="R33" s="147" t="inlineStr">
        <is>
          <t>A</t>
        </is>
      </c>
      <c r="S33" s="147" t="n"/>
    </row>
    <row r="34" ht="30" customHeight="1" s="76">
      <c r="A34" s="152" t="n"/>
      <c r="B34" s="144" t="inlineStr">
        <is>
          <t>HGC-Lib-26098096</t>
        </is>
      </c>
      <c r="C34" s="144" t="n">
        <v>19.25</v>
      </c>
      <c r="D34" s="145" t="n">
        <v>5</v>
      </c>
      <c r="E34" s="146">
        <f>ROUND(D34/SUM(D10:D202)*IF(C34="",50,50.0),3)</f>
        <v/>
      </c>
      <c r="F34" s="146">
        <f>ROUND(E34/C34*G203,3)</f>
        <v/>
      </c>
      <c r="G34" s="144" t="inlineStr">
        <is>
          <t>有参转录组（RNA-seq）</t>
        </is>
      </c>
      <c r="H34" s="144" t="inlineStr">
        <is>
          <t>广州奥智生物科技有限公司</t>
        </is>
      </c>
      <c r="I34" s="146" t="n"/>
      <c r="J34" s="144" t="n"/>
      <c r="K34" s="144" t="inlineStr">
        <is>
          <t xml:space="preserve">26.7.28-4_C1 </t>
        </is>
      </c>
      <c r="L34" s="147" t="n"/>
      <c r="M34" s="147" t="n"/>
      <c r="N34" s="147" t="n">
        <v>19.25</v>
      </c>
      <c r="O34" s="147" t="inlineStr">
        <is>
          <t>Illumina Truseq文库</t>
        </is>
      </c>
      <c r="P34" s="147" t="inlineStr">
        <is>
          <t>未磷酸化</t>
        </is>
      </c>
      <c r="Q34" s="147" t="inlineStr">
        <is>
          <t>未环化</t>
        </is>
      </c>
      <c r="R34" s="147" t="inlineStr">
        <is>
          <t>A</t>
        </is>
      </c>
      <c r="S34" s="147" t="n"/>
    </row>
    <row r="35" ht="30" customHeight="1" s="76">
      <c r="A35" s="152" t="n"/>
      <c r="B35" s="144" t="inlineStr">
        <is>
          <t>HGC-Lib-26098097</t>
        </is>
      </c>
      <c r="C35" s="144" t="n">
        <v>28.12</v>
      </c>
      <c r="D35" s="145" t="n">
        <v>5</v>
      </c>
      <c r="E35" s="146">
        <f>ROUND(D35/SUM(D10:D202)*IF(C35="",50,50.0),3)</f>
        <v/>
      </c>
      <c r="F35" s="146">
        <f>ROUND(E35/C35*G203,3)</f>
        <v/>
      </c>
      <c r="G35" s="144" t="inlineStr">
        <is>
          <t>有参转录组（RNA-seq）</t>
        </is>
      </c>
      <c r="H35" s="144" t="inlineStr">
        <is>
          <t>广州奥智生物科技有限公司</t>
        </is>
      </c>
      <c r="I35" s="146" t="n"/>
      <c r="J35" s="144" t="n"/>
      <c r="K35" s="144" t="inlineStr">
        <is>
          <t xml:space="preserve">26.7.28-4_C2 </t>
        </is>
      </c>
      <c r="L35" s="147" t="n"/>
      <c r="M35" s="147" t="n"/>
      <c r="N35" s="147" t="n">
        <v>28.12</v>
      </c>
      <c r="O35" s="147" t="inlineStr">
        <is>
          <t>Illumina Truseq文库</t>
        </is>
      </c>
      <c r="P35" s="147" t="inlineStr">
        <is>
          <t>未磷酸化</t>
        </is>
      </c>
      <c r="Q35" s="147" t="inlineStr">
        <is>
          <t>未环化</t>
        </is>
      </c>
      <c r="R35" s="147" t="inlineStr">
        <is>
          <t>A</t>
        </is>
      </c>
      <c r="S35" s="147" t="n"/>
    </row>
    <row r="36" ht="30" customHeight="1" s="76">
      <c r="A36" s="152" t="n"/>
      <c r="B36" s="144" t="inlineStr">
        <is>
          <t>HGC-Lib-26098098</t>
        </is>
      </c>
      <c r="C36" s="144" t="n">
        <v>46.78</v>
      </c>
      <c r="D36" s="145" t="n">
        <v>5</v>
      </c>
      <c r="E36" s="146">
        <f>ROUND(D36/SUM(D10:D202)*IF(C36="",50,50.0),3)</f>
        <v/>
      </c>
      <c r="F36" s="146">
        <f>ROUND(E36/C36*G203,3)</f>
        <v/>
      </c>
      <c r="G36" s="144" t="inlineStr">
        <is>
          <t>有参转录组（RNA-seq）</t>
        </is>
      </c>
      <c r="H36" s="144" t="inlineStr">
        <is>
          <t>广州奥智生物科技有限公司</t>
        </is>
      </c>
      <c r="I36" s="146" t="n"/>
      <c r="J36" s="144" t="n"/>
      <c r="K36" s="144" t="inlineStr">
        <is>
          <t xml:space="preserve">26.7.28-4_C3 </t>
        </is>
      </c>
      <c r="L36" s="147" t="n"/>
      <c r="M36" s="147" t="n"/>
      <c r="N36" s="147" t="n">
        <v>46.78</v>
      </c>
      <c r="O36" s="147" t="inlineStr">
        <is>
          <t>Illumina Truseq文库</t>
        </is>
      </c>
      <c r="P36" s="147" t="inlineStr">
        <is>
          <t>未磷酸化</t>
        </is>
      </c>
      <c r="Q36" s="147" t="inlineStr">
        <is>
          <t>未环化</t>
        </is>
      </c>
      <c r="R36" s="147" t="inlineStr">
        <is>
          <t>A</t>
        </is>
      </c>
      <c r="S36" s="147" t="n"/>
    </row>
    <row r="37" ht="30" customHeight="1" s="76">
      <c r="A37" s="152" t="n"/>
      <c r="B37" s="144" t="inlineStr">
        <is>
          <t>HGC-Lib-26098099</t>
        </is>
      </c>
      <c r="C37" s="144" t="n">
        <v>23.83</v>
      </c>
      <c r="D37" s="145" t="n">
        <v>5</v>
      </c>
      <c r="E37" s="146">
        <f>ROUND(D37/SUM(D10:D202)*IF(C37="",50,50.0),3)</f>
        <v/>
      </c>
      <c r="F37" s="146">
        <f>ROUND(E37/C37*G203,3)</f>
        <v/>
      </c>
      <c r="G37" s="144" t="inlineStr">
        <is>
          <t>有参转录组（RNA-seq）</t>
        </is>
      </c>
      <c r="H37" s="144" t="inlineStr">
        <is>
          <t>广州奥智生物科技有限公司</t>
        </is>
      </c>
      <c r="I37" s="146" t="n"/>
      <c r="J37" s="144" t="n"/>
      <c r="K37" s="144" t="inlineStr">
        <is>
          <t xml:space="preserve">26.7.28-4_C4 </t>
        </is>
      </c>
      <c r="L37" s="147" t="n"/>
      <c r="M37" s="147" t="n"/>
      <c r="N37" s="147" t="n">
        <v>23.83</v>
      </c>
      <c r="O37" s="147" t="inlineStr">
        <is>
          <t>Illumina Truseq文库</t>
        </is>
      </c>
      <c r="P37" s="147" t="inlineStr">
        <is>
          <t>未磷酸化</t>
        </is>
      </c>
      <c r="Q37" s="147" t="inlineStr">
        <is>
          <t>未环化</t>
        </is>
      </c>
      <c r="R37" s="147" t="inlineStr">
        <is>
          <t>A</t>
        </is>
      </c>
      <c r="S37" s="147" t="n"/>
    </row>
    <row r="38" ht="30" customHeight="1" s="76">
      <c r="A38" s="152" t="n"/>
      <c r="B38" s="144" t="inlineStr">
        <is>
          <t>HGC-Lib-26098100</t>
        </is>
      </c>
      <c r="C38" s="144" t="n">
        <v>36.61</v>
      </c>
      <c r="D38" s="145" t="n">
        <v>5</v>
      </c>
      <c r="E38" s="146">
        <f>ROUND(D38/SUM(D10:D202)*IF(C38="",50,50.0),3)</f>
        <v/>
      </c>
      <c r="F38" s="146">
        <f>ROUND(E38/C38*G203,3)</f>
        <v/>
      </c>
      <c r="G38" s="144" t="inlineStr">
        <is>
          <t>有参转录组（RNA-seq）</t>
        </is>
      </c>
      <c r="H38" s="144" t="inlineStr">
        <is>
          <t>广州奥智生物科技有限公司</t>
        </is>
      </c>
      <c r="I38" s="146" t="n"/>
      <c r="J38" s="144" t="n"/>
      <c r="K38" s="144" t="inlineStr">
        <is>
          <t xml:space="preserve">26.7.28-4_C5 </t>
        </is>
      </c>
      <c r="L38" s="147" t="n"/>
      <c r="M38" s="147" t="n"/>
      <c r="N38" s="147" t="n">
        <v>36.61</v>
      </c>
      <c r="O38" s="147" t="inlineStr">
        <is>
          <t>Illumina Truseq文库</t>
        </is>
      </c>
      <c r="P38" s="147" t="inlineStr">
        <is>
          <t>未磷酸化</t>
        </is>
      </c>
      <c r="Q38" s="147" t="inlineStr">
        <is>
          <t>未环化</t>
        </is>
      </c>
      <c r="R38" s="147" t="inlineStr">
        <is>
          <t>A</t>
        </is>
      </c>
      <c r="S38" s="147" t="n"/>
    </row>
    <row r="39" ht="30" customHeight="1" s="76">
      <c r="A39" s="152" t="n"/>
      <c r="B39" s="144" t="inlineStr">
        <is>
          <t>HGC-Lib-26098101</t>
        </is>
      </c>
      <c r="C39" s="144" t="n">
        <v>31.42</v>
      </c>
      <c r="D39" s="145" t="n">
        <v>5</v>
      </c>
      <c r="E39" s="146">
        <f>ROUND(D39/SUM(D10:D202)*IF(C39="",50,50.0),3)</f>
        <v/>
      </c>
      <c r="F39" s="146">
        <f>ROUND(E39/C39*G203,3)</f>
        <v/>
      </c>
      <c r="G39" s="144" t="inlineStr">
        <is>
          <t>有参转录组（RNA-seq）</t>
        </is>
      </c>
      <c r="H39" s="144" t="inlineStr">
        <is>
          <t>广州奥智生物科技有限公司</t>
        </is>
      </c>
      <c r="I39" s="146" t="n"/>
      <c r="J39" s="144" t="n"/>
      <c r="K39" s="144" t="inlineStr">
        <is>
          <t xml:space="preserve">26.7.28-4_C6 </t>
        </is>
      </c>
      <c r="L39" s="147" t="n"/>
      <c r="M39" s="147" t="n"/>
      <c r="N39" s="147" t="n">
        <v>31.42</v>
      </c>
      <c r="O39" s="147" t="inlineStr">
        <is>
          <t>Illumina Truseq文库</t>
        </is>
      </c>
      <c r="P39" s="147" t="inlineStr">
        <is>
          <t>未磷酸化</t>
        </is>
      </c>
      <c r="Q39" s="147" t="inlineStr">
        <is>
          <t>未环化</t>
        </is>
      </c>
      <c r="R39" s="147" t="inlineStr">
        <is>
          <t>A</t>
        </is>
      </c>
      <c r="S39" s="147" t="n"/>
    </row>
    <row r="40" ht="30" customHeight="1" s="76">
      <c r="A40" s="152" t="n"/>
      <c r="B40" s="144" t="inlineStr">
        <is>
          <t>HGC-Lib-26098102</t>
        </is>
      </c>
      <c r="C40" s="144" t="n">
        <v>30.29</v>
      </c>
      <c r="D40" s="145" t="n">
        <v>5</v>
      </c>
      <c r="E40" s="146">
        <f>ROUND(D40/SUM(D10:D202)*IF(C40="",50,50.0),3)</f>
        <v/>
      </c>
      <c r="F40" s="146">
        <f>ROUND(E40/C40*G203,3)</f>
        <v/>
      </c>
      <c r="G40" s="144" t="inlineStr">
        <is>
          <t>有参转录组（RNA-seq）</t>
        </is>
      </c>
      <c r="H40" s="144" t="inlineStr">
        <is>
          <t>广州奥智生物科技有限公司</t>
        </is>
      </c>
      <c r="I40" s="146" t="n"/>
      <c r="J40" s="144" t="n"/>
      <c r="K40" s="144" t="inlineStr">
        <is>
          <t xml:space="preserve">26.7.28-4_C7 </t>
        </is>
      </c>
      <c r="L40" s="147" t="n"/>
      <c r="M40" s="147" t="n"/>
      <c r="N40" s="147" t="n">
        <v>30.29</v>
      </c>
      <c r="O40" s="147" t="inlineStr">
        <is>
          <t>Illumina Truseq文库</t>
        </is>
      </c>
      <c r="P40" s="147" t="inlineStr">
        <is>
          <t>未磷酸化</t>
        </is>
      </c>
      <c r="Q40" s="147" t="inlineStr">
        <is>
          <t>未环化</t>
        </is>
      </c>
      <c r="R40" s="147" t="inlineStr">
        <is>
          <t>A</t>
        </is>
      </c>
      <c r="S40" s="147" t="n"/>
    </row>
    <row r="41" ht="30" customHeight="1" s="76">
      <c r="A41" s="152" t="n"/>
      <c r="B41" s="144" t="inlineStr">
        <is>
          <t>HGC-Lib-26098103</t>
        </is>
      </c>
      <c r="C41" s="144" t="n">
        <v>16.86</v>
      </c>
      <c r="D41" s="145" t="n">
        <v>5</v>
      </c>
      <c r="E41" s="146">
        <f>ROUND(D41/SUM(D10:D202)*IF(C41="",50,50.0),3)</f>
        <v/>
      </c>
      <c r="F41" s="146">
        <f>ROUND(E41/C41*G203,3)</f>
        <v/>
      </c>
      <c r="G41" s="144" t="inlineStr">
        <is>
          <t>有参转录组（RNA-seq）</t>
        </is>
      </c>
      <c r="H41" s="144" t="inlineStr">
        <is>
          <t>广州奥智生物科技有限公司</t>
        </is>
      </c>
      <c r="I41" s="146" t="n"/>
      <c r="J41" s="144" t="n"/>
      <c r="K41" s="144" t="inlineStr">
        <is>
          <t xml:space="preserve">26.7.28-4_C8 </t>
        </is>
      </c>
      <c r="L41" s="147" t="n"/>
      <c r="M41" s="147" t="n"/>
      <c r="N41" s="147" t="n">
        <v>16.86</v>
      </c>
      <c r="O41" s="147" t="inlineStr">
        <is>
          <t>Illumina Truseq文库</t>
        </is>
      </c>
      <c r="P41" s="147" t="inlineStr">
        <is>
          <t>未磷酸化</t>
        </is>
      </c>
      <c r="Q41" s="147" t="inlineStr">
        <is>
          <t>未环化</t>
        </is>
      </c>
      <c r="R41" s="147" t="inlineStr">
        <is>
          <t>A</t>
        </is>
      </c>
      <c r="S41" s="147" t="n"/>
    </row>
    <row r="42" ht="30" customHeight="1" s="76">
      <c r="A42" s="152" t="n"/>
      <c r="B42" s="144" t="inlineStr">
        <is>
          <t>HGC-Lib-26098104</t>
        </is>
      </c>
      <c r="C42" s="144" t="n">
        <v>31</v>
      </c>
      <c r="D42" s="145" t="n">
        <v>5</v>
      </c>
      <c r="E42" s="146">
        <f>ROUND(D42/SUM(D10:D202)*IF(C42="",50,50.0),3)</f>
        <v/>
      </c>
      <c r="F42" s="146">
        <f>ROUND(E42/C42*G203,3)</f>
        <v/>
      </c>
      <c r="G42" s="144" t="inlineStr">
        <is>
          <t>有参转录组（RNA-seq）</t>
        </is>
      </c>
      <c r="H42" s="144" t="inlineStr">
        <is>
          <t>广州奥智生物科技有限公司</t>
        </is>
      </c>
      <c r="I42" s="146" t="n"/>
      <c r="J42" s="144" t="n"/>
      <c r="K42" s="144" t="inlineStr">
        <is>
          <t xml:space="preserve">26.7.28-4_C9 </t>
        </is>
      </c>
      <c r="L42" s="147" t="n"/>
      <c r="M42" s="147" t="n"/>
      <c r="N42" s="147" t="n">
        <v>31</v>
      </c>
      <c r="O42" s="147" t="inlineStr">
        <is>
          <t>Illumina Truseq文库</t>
        </is>
      </c>
      <c r="P42" s="147" t="inlineStr">
        <is>
          <t>未磷酸化</t>
        </is>
      </c>
      <c r="Q42" s="147" t="inlineStr">
        <is>
          <t>未环化</t>
        </is>
      </c>
      <c r="R42" s="147" t="inlineStr">
        <is>
          <t>A</t>
        </is>
      </c>
      <c r="S42" s="147" t="n"/>
    </row>
    <row r="43" ht="30" customHeight="1" s="76">
      <c r="A43" s="152" t="n"/>
      <c r="B43" s="144" t="inlineStr">
        <is>
          <t>HGC-Lib-26098105</t>
        </is>
      </c>
      <c r="C43" s="144" t="n">
        <v>23.5</v>
      </c>
      <c r="D43" s="145" t="n">
        <v>5</v>
      </c>
      <c r="E43" s="146">
        <f>ROUND(D43/SUM(D10:D202)*IF(C43="",50,50.0),3)</f>
        <v/>
      </c>
      <c r="F43" s="146">
        <f>ROUND(E43/C43*G203,3)</f>
        <v/>
      </c>
      <c r="G43" s="144" t="inlineStr">
        <is>
          <t>有参转录组（RNA-seq）</t>
        </is>
      </c>
      <c r="H43" s="144" t="inlineStr">
        <is>
          <t>广州奥智生物科技有限公司</t>
        </is>
      </c>
      <c r="I43" s="146" t="n"/>
      <c r="J43" s="144" t="n"/>
      <c r="K43" s="144" t="inlineStr">
        <is>
          <t xml:space="preserve">26.7.28-4_C10 </t>
        </is>
      </c>
      <c r="L43" s="147" t="n"/>
      <c r="M43" s="147" t="n"/>
      <c r="N43" s="147" t="n">
        <v>23.5</v>
      </c>
      <c r="O43" s="147" t="inlineStr">
        <is>
          <t>Illumina Truseq文库</t>
        </is>
      </c>
      <c r="P43" s="147" t="inlineStr">
        <is>
          <t>未磷酸化</t>
        </is>
      </c>
      <c r="Q43" s="147" t="inlineStr">
        <is>
          <t>未环化</t>
        </is>
      </c>
      <c r="R43" s="147" t="inlineStr">
        <is>
          <t>A</t>
        </is>
      </c>
      <c r="S43" s="147" t="n"/>
    </row>
    <row r="44" ht="30" customHeight="1" s="76">
      <c r="A44" s="152" t="n"/>
      <c r="B44" s="144" t="inlineStr">
        <is>
          <t>HGC-Lib-26098106</t>
        </is>
      </c>
      <c r="C44" s="144" t="n">
        <v>43.36</v>
      </c>
      <c r="D44" s="145" t="n">
        <v>5</v>
      </c>
      <c r="E44" s="146">
        <f>ROUND(D44/SUM(D10:D202)*IF(C44="",50,50.0),3)</f>
        <v/>
      </c>
      <c r="F44" s="146">
        <f>ROUND(E44/C44*G203,3)</f>
        <v/>
      </c>
      <c r="G44" s="144" t="inlineStr">
        <is>
          <t>有参转录组（RNA-seq）</t>
        </is>
      </c>
      <c r="H44" s="144" t="inlineStr">
        <is>
          <t>广州奥智生物科技有限公司</t>
        </is>
      </c>
      <c r="I44" s="146" t="n"/>
      <c r="J44" s="144" t="n"/>
      <c r="K44" s="144" t="inlineStr">
        <is>
          <t xml:space="preserve">26.7.28-4_C11 </t>
        </is>
      </c>
      <c r="L44" s="147" t="n"/>
      <c r="M44" s="147" t="n"/>
      <c r="N44" s="147" t="n">
        <v>43.36</v>
      </c>
      <c r="O44" s="147" t="inlineStr">
        <is>
          <t>Illumina Truseq文库</t>
        </is>
      </c>
      <c r="P44" s="147" t="inlineStr">
        <is>
          <t>未磷酸化</t>
        </is>
      </c>
      <c r="Q44" s="147" t="inlineStr">
        <is>
          <t>未环化</t>
        </is>
      </c>
      <c r="R44" s="147" t="inlineStr">
        <is>
          <t>A</t>
        </is>
      </c>
      <c r="S44" s="147" t="n"/>
    </row>
    <row r="45" ht="30" customHeight="1" s="76">
      <c r="A45" s="152" t="n"/>
      <c r="B45" s="144" t="inlineStr">
        <is>
          <t>HGC-Lib-26098107</t>
        </is>
      </c>
      <c r="C45" s="144" t="n">
        <v>22.49</v>
      </c>
      <c r="D45" s="145" t="n">
        <v>5</v>
      </c>
      <c r="E45" s="146">
        <f>ROUND(D45/SUM(D10:D202)*IF(C45="",50,50.0),3)</f>
        <v/>
      </c>
      <c r="F45" s="146">
        <f>ROUND(E45/C45*G203,3)</f>
        <v/>
      </c>
      <c r="G45" s="144" t="inlineStr">
        <is>
          <t>有参转录组（RNA-seq）</t>
        </is>
      </c>
      <c r="H45" s="144" t="inlineStr">
        <is>
          <t>广州奥智生物科技有限公司</t>
        </is>
      </c>
      <c r="I45" s="146" t="n"/>
      <c r="J45" s="144" t="n"/>
      <c r="K45" s="144" t="inlineStr">
        <is>
          <t xml:space="preserve">26.7.28-4_C12 </t>
        </is>
      </c>
      <c r="L45" s="147" t="n"/>
      <c r="M45" s="147" t="n"/>
      <c r="N45" s="147" t="n">
        <v>22.49</v>
      </c>
      <c r="O45" s="147" t="inlineStr">
        <is>
          <t>Illumina Truseq文库</t>
        </is>
      </c>
      <c r="P45" s="147" t="inlineStr">
        <is>
          <t>未磷酸化</t>
        </is>
      </c>
      <c r="Q45" s="147" t="inlineStr">
        <is>
          <t>未环化</t>
        </is>
      </c>
      <c r="R45" s="147" t="inlineStr">
        <is>
          <t>A</t>
        </is>
      </c>
      <c r="S45" s="147" t="n"/>
    </row>
    <row r="46" ht="30" customHeight="1" s="76">
      <c r="A46" s="152" t="n"/>
      <c r="B46" s="144" t="inlineStr">
        <is>
          <t>HGC-Lib-26098108</t>
        </is>
      </c>
      <c r="C46" s="144" t="n">
        <v>40.04</v>
      </c>
      <c r="D46" s="145" t="n">
        <v>5</v>
      </c>
      <c r="E46" s="146">
        <f>ROUND(D46/SUM(D10:D202)*IF(C46="",50,50.0),3)</f>
        <v/>
      </c>
      <c r="F46" s="146">
        <f>ROUND(E46/C46*G203,3)</f>
        <v/>
      </c>
      <c r="G46" s="144" t="inlineStr">
        <is>
          <t>有参转录组（RNA-seq）</t>
        </is>
      </c>
      <c r="H46" s="144" t="inlineStr">
        <is>
          <t>广州奥智生物科技有限公司</t>
        </is>
      </c>
      <c r="I46" s="146" t="n"/>
      <c r="J46" s="144" t="n"/>
      <c r="K46" s="144" t="inlineStr">
        <is>
          <t xml:space="preserve">26.7.28-4_D1 </t>
        </is>
      </c>
      <c r="L46" s="147" t="n"/>
      <c r="M46" s="147" t="n"/>
      <c r="N46" s="147" t="n">
        <v>40.04</v>
      </c>
      <c r="O46" s="147" t="inlineStr">
        <is>
          <t>Illumina Truseq文库</t>
        </is>
      </c>
      <c r="P46" s="147" t="inlineStr">
        <is>
          <t>未磷酸化</t>
        </is>
      </c>
      <c r="Q46" s="147" t="inlineStr">
        <is>
          <t>未环化</t>
        </is>
      </c>
      <c r="R46" s="147" t="inlineStr">
        <is>
          <t>A</t>
        </is>
      </c>
      <c r="S46" s="147" t="n"/>
    </row>
    <row r="47" ht="30" customHeight="1" s="76">
      <c r="A47" s="152" t="n"/>
      <c r="B47" s="144" t="inlineStr">
        <is>
          <t>HGC-Lib-26098109</t>
        </is>
      </c>
      <c r="C47" s="144" t="n">
        <v>40.84</v>
      </c>
      <c r="D47" s="145" t="n">
        <v>5</v>
      </c>
      <c r="E47" s="146">
        <f>ROUND(D47/SUM(D10:D202)*IF(C47="",50,50.0),3)</f>
        <v/>
      </c>
      <c r="F47" s="146">
        <f>ROUND(E47/C47*G203,3)</f>
        <v/>
      </c>
      <c r="G47" s="144" t="inlineStr">
        <is>
          <t>有参转录组（RNA-seq）</t>
        </is>
      </c>
      <c r="H47" s="144" t="inlineStr">
        <is>
          <t>广州奥智生物科技有限公司</t>
        </is>
      </c>
      <c r="I47" s="146" t="n"/>
      <c r="J47" s="144" t="n"/>
      <c r="K47" s="144" t="inlineStr">
        <is>
          <t xml:space="preserve">26.7.28-4_D2 </t>
        </is>
      </c>
      <c r="L47" s="147" t="n"/>
      <c r="M47" s="147" t="n"/>
      <c r="N47" s="147" t="n">
        <v>40.84</v>
      </c>
      <c r="O47" s="147" t="inlineStr">
        <is>
          <t>Illumina Truseq文库</t>
        </is>
      </c>
      <c r="P47" s="147" t="inlineStr">
        <is>
          <t>未磷酸化</t>
        </is>
      </c>
      <c r="Q47" s="147" t="inlineStr">
        <is>
          <t>未环化</t>
        </is>
      </c>
      <c r="R47" s="147" t="inlineStr">
        <is>
          <t>A</t>
        </is>
      </c>
      <c r="S47" s="147" t="n"/>
    </row>
    <row r="48" ht="30" customHeight="1" s="76">
      <c r="A48" s="152" t="n"/>
      <c r="B48" s="144" t="inlineStr">
        <is>
          <t>HGC-Lib-26098110</t>
        </is>
      </c>
      <c r="C48" s="144" t="n">
        <v>22.48</v>
      </c>
      <c r="D48" s="145" t="n">
        <v>5</v>
      </c>
      <c r="E48" s="146">
        <f>ROUND(D48/SUM(D10:D202)*IF(C48="",50,50.0),3)</f>
        <v/>
      </c>
      <c r="F48" s="146">
        <f>ROUND(E48/C48*G203,3)</f>
        <v/>
      </c>
      <c r="G48" s="144" t="inlineStr">
        <is>
          <t>有参转录组（RNA-seq）</t>
        </is>
      </c>
      <c r="H48" s="144" t="inlineStr">
        <is>
          <t>广州奥智生物科技有限公司</t>
        </is>
      </c>
      <c r="I48" s="146" t="n"/>
      <c r="J48" s="144" t="n"/>
      <c r="K48" s="144" t="inlineStr">
        <is>
          <t xml:space="preserve">26.7.28-4_D3 </t>
        </is>
      </c>
      <c r="L48" s="147" t="n"/>
      <c r="M48" s="147" t="n"/>
      <c r="N48" s="147" t="n">
        <v>22.48</v>
      </c>
      <c r="O48" s="147" t="inlineStr">
        <is>
          <t>Illumina Truseq文库</t>
        </is>
      </c>
      <c r="P48" s="147" t="inlineStr">
        <is>
          <t>未磷酸化</t>
        </is>
      </c>
      <c r="Q48" s="147" t="inlineStr">
        <is>
          <t>未环化</t>
        </is>
      </c>
      <c r="R48" s="147" t="inlineStr">
        <is>
          <t>A</t>
        </is>
      </c>
      <c r="S48" s="147" t="n"/>
    </row>
    <row r="49" ht="30" customHeight="1" s="76">
      <c r="A49" s="152" t="n"/>
      <c r="B49" s="144" t="inlineStr">
        <is>
          <t>HGC-Lib-26098111</t>
        </is>
      </c>
      <c r="C49" s="144" t="n">
        <v>18.47</v>
      </c>
      <c r="D49" s="145" t="n">
        <v>5</v>
      </c>
      <c r="E49" s="146">
        <f>ROUND(D49/SUM(D10:D202)*IF(C49="",50,50.0),3)</f>
        <v/>
      </c>
      <c r="F49" s="146">
        <f>ROUND(E49/C49*G203,3)</f>
        <v/>
      </c>
      <c r="G49" s="144" t="inlineStr">
        <is>
          <t>有参转录组（RNA-seq）</t>
        </is>
      </c>
      <c r="H49" s="144" t="inlineStr">
        <is>
          <t>广州奥智生物科技有限公司</t>
        </is>
      </c>
      <c r="I49" s="146" t="n"/>
      <c r="J49" s="144" t="n"/>
      <c r="K49" s="144" t="inlineStr">
        <is>
          <t xml:space="preserve">26.7.28-4_D4 </t>
        </is>
      </c>
      <c r="L49" s="147" t="n"/>
      <c r="M49" s="147" t="n"/>
      <c r="N49" s="147" t="n">
        <v>18.47</v>
      </c>
      <c r="O49" s="147" t="inlineStr">
        <is>
          <t>Illumina Truseq文库</t>
        </is>
      </c>
      <c r="P49" s="147" t="inlineStr">
        <is>
          <t>未磷酸化</t>
        </is>
      </c>
      <c r="Q49" s="147" t="inlineStr">
        <is>
          <t>未环化</t>
        </is>
      </c>
      <c r="R49" s="147" t="inlineStr">
        <is>
          <t>A</t>
        </is>
      </c>
      <c r="S49" s="147" t="n"/>
    </row>
    <row r="50" ht="30" customHeight="1" s="76">
      <c r="A50" s="152" t="n"/>
      <c r="B50" s="144" t="inlineStr">
        <is>
          <t>HGC-Lib-26098112</t>
        </is>
      </c>
      <c r="C50" s="144" t="n">
        <v>16.61</v>
      </c>
      <c r="D50" s="145" t="n">
        <v>5</v>
      </c>
      <c r="E50" s="146">
        <f>ROUND(D50/SUM(D10:D202)*IF(C50="",50,50.0),3)</f>
        <v/>
      </c>
      <c r="F50" s="146">
        <f>ROUND(E50/C50*G203,3)</f>
        <v/>
      </c>
      <c r="G50" s="144" t="inlineStr">
        <is>
          <t>有参转录组（RNA-seq）</t>
        </is>
      </c>
      <c r="H50" s="144" t="inlineStr">
        <is>
          <t>广州奥智生物科技有限公司</t>
        </is>
      </c>
      <c r="I50" s="146" t="n"/>
      <c r="J50" s="144" t="n"/>
      <c r="K50" s="144" t="inlineStr">
        <is>
          <t xml:space="preserve">26.7.28-4_D5 </t>
        </is>
      </c>
      <c r="L50" s="147" t="n"/>
      <c r="M50" s="147" t="n"/>
      <c r="N50" s="147" t="n">
        <v>16.61</v>
      </c>
      <c r="O50" s="147" t="inlineStr">
        <is>
          <t>Illumina Truseq文库</t>
        </is>
      </c>
      <c r="P50" s="147" t="inlineStr">
        <is>
          <t>未磷酸化</t>
        </is>
      </c>
      <c r="Q50" s="147" t="inlineStr">
        <is>
          <t>未环化</t>
        </is>
      </c>
      <c r="R50" s="147" t="inlineStr">
        <is>
          <t>A</t>
        </is>
      </c>
      <c r="S50" s="147" t="n"/>
    </row>
    <row r="51" ht="30" customHeight="1" s="76">
      <c r="A51" s="152" t="n"/>
      <c r="B51" s="144" t="inlineStr">
        <is>
          <t>HGC-Lib-26098113</t>
        </is>
      </c>
      <c r="C51" s="144" t="n">
        <v>28.47</v>
      </c>
      <c r="D51" s="145" t="n">
        <v>5</v>
      </c>
      <c r="E51" s="146">
        <f>ROUND(D51/SUM(D10:D202)*IF(C51="",50,50.0),3)</f>
        <v/>
      </c>
      <c r="F51" s="146">
        <f>ROUND(E51/C51*G203,3)</f>
        <v/>
      </c>
      <c r="G51" s="144" t="inlineStr">
        <is>
          <t>有参转录组（RNA-seq）</t>
        </is>
      </c>
      <c r="H51" s="144" t="inlineStr">
        <is>
          <t>广州奥智生物科技有限公司</t>
        </is>
      </c>
      <c r="I51" s="146" t="n"/>
      <c r="J51" s="144" t="n"/>
      <c r="K51" s="144" t="inlineStr">
        <is>
          <t xml:space="preserve">26.7.28-4_D6 </t>
        </is>
      </c>
      <c r="L51" s="147" t="n"/>
      <c r="M51" s="147" t="n"/>
      <c r="N51" s="147" t="n">
        <v>28.47</v>
      </c>
      <c r="O51" s="147" t="inlineStr">
        <is>
          <t>Illumina Truseq文库</t>
        </is>
      </c>
      <c r="P51" s="147" t="inlineStr">
        <is>
          <t>未磷酸化</t>
        </is>
      </c>
      <c r="Q51" s="147" t="inlineStr">
        <is>
          <t>未环化</t>
        </is>
      </c>
      <c r="R51" s="147" t="inlineStr">
        <is>
          <t>A</t>
        </is>
      </c>
      <c r="S51" s="147" t="n"/>
    </row>
    <row r="52" ht="30" customHeight="1" s="76">
      <c r="A52" s="152" t="n"/>
      <c r="B52" s="144" t="inlineStr">
        <is>
          <t>HGC-Lib-26098114</t>
        </is>
      </c>
      <c r="C52" s="144" t="n">
        <v>33.49</v>
      </c>
      <c r="D52" s="145" t="n">
        <v>5</v>
      </c>
      <c r="E52" s="146">
        <f>ROUND(D52/SUM(D10:D202)*IF(C52="",50,50.0),3)</f>
        <v/>
      </c>
      <c r="F52" s="146">
        <f>ROUND(E52/C52*G203,3)</f>
        <v/>
      </c>
      <c r="G52" s="144" t="inlineStr">
        <is>
          <t>有参转录组（RNA-seq）</t>
        </is>
      </c>
      <c r="H52" s="144" t="inlineStr">
        <is>
          <t>广州奥智生物科技有限公司</t>
        </is>
      </c>
      <c r="I52" s="146" t="n"/>
      <c r="J52" s="144" t="n"/>
      <c r="K52" s="144" t="inlineStr">
        <is>
          <t xml:space="preserve">26.7.28-4_D7 </t>
        </is>
      </c>
      <c r="L52" s="147" t="n"/>
      <c r="M52" s="147" t="n"/>
      <c r="N52" s="147" t="n">
        <v>33.49</v>
      </c>
      <c r="O52" s="147" t="inlineStr">
        <is>
          <t>Illumina Truseq文库</t>
        </is>
      </c>
      <c r="P52" s="147" t="inlineStr">
        <is>
          <t>未磷酸化</t>
        </is>
      </c>
      <c r="Q52" s="147" t="inlineStr">
        <is>
          <t>未环化</t>
        </is>
      </c>
      <c r="R52" s="147" t="inlineStr">
        <is>
          <t>A</t>
        </is>
      </c>
      <c r="S52" s="147" t="n"/>
    </row>
    <row r="53" ht="30" customHeight="1" s="76">
      <c r="A53" s="152" t="n"/>
      <c r="B53" s="144" t="inlineStr">
        <is>
          <t>HGC-Lib-26098115</t>
        </is>
      </c>
      <c r="C53" s="144" t="n">
        <v>35.07</v>
      </c>
      <c r="D53" s="145" t="n">
        <v>5</v>
      </c>
      <c r="E53" s="146">
        <f>ROUND(D53/SUM(D10:D202)*IF(C53="",50,50.0),3)</f>
        <v/>
      </c>
      <c r="F53" s="146">
        <f>ROUND(E53/C53*G203,3)</f>
        <v/>
      </c>
      <c r="G53" s="144" t="inlineStr">
        <is>
          <t>有参转录组（RNA-seq）</t>
        </is>
      </c>
      <c r="H53" s="144" t="inlineStr">
        <is>
          <t>广州奥智生物科技有限公司</t>
        </is>
      </c>
      <c r="I53" s="146" t="n"/>
      <c r="J53" s="144" t="n"/>
      <c r="K53" s="144" t="inlineStr">
        <is>
          <t xml:space="preserve">26.7.28-4_D8 </t>
        </is>
      </c>
      <c r="L53" s="147" t="n"/>
      <c r="M53" s="147" t="n"/>
      <c r="N53" s="147" t="n">
        <v>35.07</v>
      </c>
      <c r="O53" s="147" t="inlineStr">
        <is>
          <t>Illumina Truseq文库</t>
        </is>
      </c>
      <c r="P53" s="147" t="inlineStr">
        <is>
          <t>未磷酸化</t>
        </is>
      </c>
      <c r="Q53" s="147" t="inlineStr">
        <is>
          <t>未环化</t>
        </is>
      </c>
      <c r="R53" s="147" t="inlineStr">
        <is>
          <t>A</t>
        </is>
      </c>
      <c r="S53" s="147" t="n"/>
    </row>
    <row r="54" ht="30" customHeight="1" s="76">
      <c r="A54" s="152" t="n"/>
      <c r="B54" s="144" t="inlineStr">
        <is>
          <t>HGC-Lib-26098116</t>
        </is>
      </c>
      <c r="C54" s="144" t="n">
        <v>36.08</v>
      </c>
      <c r="D54" s="145" t="n">
        <v>5</v>
      </c>
      <c r="E54" s="146">
        <f>ROUND(D54/SUM(D10:D202)*IF(C54="",50,50.0),3)</f>
        <v/>
      </c>
      <c r="F54" s="146">
        <f>ROUND(E54/C54*G203,3)</f>
        <v/>
      </c>
      <c r="G54" s="144" t="inlineStr">
        <is>
          <t>有参转录组（RNA-seq）</t>
        </is>
      </c>
      <c r="H54" s="144" t="inlineStr">
        <is>
          <t>广州奥智生物科技有限公司</t>
        </is>
      </c>
      <c r="I54" s="146" t="n"/>
      <c r="J54" s="144" t="n"/>
      <c r="K54" s="144" t="inlineStr">
        <is>
          <t xml:space="preserve">26.7.28-4_D9 </t>
        </is>
      </c>
      <c r="L54" s="147" t="n"/>
      <c r="M54" s="147" t="n"/>
      <c r="N54" s="147" t="n">
        <v>36.08</v>
      </c>
      <c r="O54" s="147" t="inlineStr">
        <is>
          <t>Illumina Truseq文库</t>
        </is>
      </c>
      <c r="P54" s="147" t="inlineStr">
        <is>
          <t>未磷酸化</t>
        </is>
      </c>
      <c r="Q54" s="147" t="inlineStr">
        <is>
          <t>未环化</t>
        </is>
      </c>
      <c r="R54" s="147" t="inlineStr">
        <is>
          <t>A</t>
        </is>
      </c>
      <c r="S54" s="147" t="n"/>
    </row>
    <row r="55" ht="30" customHeight="1" s="76">
      <c r="A55" s="152" t="n"/>
      <c r="B55" s="144" t="inlineStr">
        <is>
          <t>HGC-Lib-26098117</t>
        </is>
      </c>
      <c r="C55" s="144" t="n">
        <v>44.35</v>
      </c>
      <c r="D55" s="145" t="n">
        <v>5</v>
      </c>
      <c r="E55" s="146">
        <f>ROUND(D55/SUM(D10:D202)*IF(C55="",50,50.0),3)</f>
        <v/>
      </c>
      <c r="F55" s="146">
        <f>ROUND(E55/C55*G203,3)</f>
        <v/>
      </c>
      <c r="G55" s="144" t="inlineStr">
        <is>
          <t>有参转录组（RNA-seq）</t>
        </is>
      </c>
      <c r="H55" s="144" t="inlineStr">
        <is>
          <t>广州奥智生物科技有限公司</t>
        </is>
      </c>
      <c r="I55" s="146" t="n"/>
      <c r="J55" s="144" t="n"/>
      <c r="K55" s="144" t="inlineStr">
        <is>
          <t xml:space="preserve">26.7.28-4_D10 </t>
        </is>
      </c>
      <c r="L55" s="147" t="n"/>
      <c r="M55" s="147" t="n"/>
      <c r="N55" s="147" t="n">
        <v>44.35</v>
      </c>
      <c r="O55" s="147" t="inlineStr">
        <is>
          <t>Illumina Truseq文库</t>
        </is>
      </c>
      <c r="P55" s="147" t="inlineStr">
        <is>
          <t>未磷酸化</t>
        </is>
      </c>
      <c r="Q55" s="147" t="inlineStr">
        <is>
          <t>未环化</t>
        </is>
      </c>
      <c r="R55" s="147" t="inlineStr">
        <is>
          <t>A</t>
        </is>
      </c>
      <c r="S55" s="147" t="n"/>
    </row>
    <row r="56" ht="30" customHeight="1" s="76">
      <c r="A56" s="152" t="n"/>
      <c r="B56" s="144" t="inlineStr">
        <is>
          <t>HGC-Lib-26098118</t>
        </is>
      </c>
      <c r="C56" s="144" t="n">
        <v>24.21</v>
      </c>
      <c r="D56" s="145" t="n">
        <v>5</v>
      </c>
      <c r="E56" s="146">
        <f>ROUND(D56/SUM(D10:D202)*IF(C56="",50,50.0),3)</f>
        <v/>
      </c>
      <c r="F56" s="146">
        <f>ROUND(E56/C56*G203,3)</f>
        <v/>
      </c>
      <c r="G56" s="144" t="inlineStr">
        <is>
          <t>有参转录组（RNA-seq）</t>
        </is>
      </c>
      <c r="H56" s="144" t="inlineStr">
        <is>
          <t>广州奥智生物科技有限公司</t>
        </is>
      </c>
      <c r="I56" s="146" t="n"/>
      <c r="J56" s="144" t="n"/>
      <c r="K56" s="144" t="inlineStr">
        <is>
          <t xml:space="preserve">26.7.28-4_D11 </t>
        </is>
      </c>
      <c r="L56" s="147" t="n"/>
      <c r="M56" s="147" t="n"/>
      <c r="N56" s="147" t="n">
        <v>24.21</v>
      </c>
      <c r="O56" s="147" t="inlineStr">
        <is>
          <t>Illumina Truseq文库</t>
        </is>
      </c>
      <c r="P56" s="147" t="inlineStr">
        <is>
          <t>未磷酸化</t>
        </is>
      </c>
      <c r="Q56" s="147" t="inlineStr">
        <is>
          <t>未环化</t>
        </is>
      </c>
      <c r="R56" s="147" t="inlineStr">
        <is>
          <t>A</t>
        </is>
      </c>
      <c r="S56" s="147" t="n"/>
    </row>
    <row r="57" ht="30" customHeight="1" s="76">
      <c r="A57" s="152" t="n"/>
      <c r="B57" s="144" t="inlineStr">
        <is>
          <t>HGC-Lib-26098119</t>
        </is>
      </c>
      <c r="C57" s="144" t="n">
        <v>21.66</v>
      </c>
      <c r="D57" s="145" t="n">
        <v>5</v>
      </c>
      <c r="E57" s="146">
        <f>ROUND(D57/SUM(D10:D202)*IF(C57="",50,50.0),3)</f>
        <v/>
      </c>
      <c r="F57" s="146">
        <f>ROUND(E57/C57*G203,3)</f>
        <v/>
      </c>
      <c r="G57" s="144" t="inlineStr">
        <is>
          <t>有参转录组（RNA-seq）</t>
        </is>
      </c>
      <c r="H57" s="144" t="inlineStr">
        <is>
          <t>广州奥智生物科技有限公司</t>
        </is>
      </c>
      <c r="I57" s="146" t="n"/>
      <c r="J57" s="144" t="n"/>
      <c r="K57" s="144" t="inlineStr">
        <is>
          <t xml:space="preserve">26.7.28-4_D12 </t>
        </is>
      </c>
      <c r="L57" s="147" t="n"/>
      <c r="M57" s="147" t="n"/>
      <c r="N57" s="147" t="n">
        <v>21.66</v>
      </c>
      <c r="O57" s="147" t="inlineStr">
        <is>
          <t>Illumina Truseq文库</t>
        </is>
      </c>
      <c r="P57" s="147" t="inlineStr">
        <is>
          <t>未磷酸化</t>
        </is>
      </c>
      <c r="Q57" s="147" t="inlineStr">
        <is>
          <t>未环化</t>
        </is>
      </c>
      <c r="R57" s="147" t="inlineStr">
        <is>
          <t>A</t>
        </is>
      </c>
      <c r="S57" s="147" t="n"/>
    </row>
    <row r="58" ht="30" customHeight="1" s="76">
      <c r="A58" s="152" t="n"/>
      <c r="B58" s="144" t="inlineStr">
        <is>
          <t>HGC-Lib-26098120</t>
        </is>
      </c>
      <c r="C58" s="144" t="n">
        <v>25.38</v>
      </c>
      <c r="D58" s="145" t="n">
        <v>5</v>
      </c>
      <c r="E58" s="146">
        <f>ROUND(D58/SUM(D10:D202)*IF(C58="",50,50.0),3)</f>
        <v/>
      </c>
      <c r="F58" s="146">
        <f>ROUND(E58/C58*G203,3)</f>
        <v/>
      </c>
      <c r="G58" s="144" t="inlineStr">
        <is>
          <t>有参转录组（RNA-seq）</t>
        </is>
      </c>
      <c r="H58" s="144" t="inlineStr">
        <is>
          <t>广州奥智生物科技有限公司</t>
        </is>
      </c>
      <c r="I58" s="146" t="n"/>
      <c r="J58" s="144" t="n"/>
      <c r="K58" s="144" t="inlineStr">
        <is>
          <t xml:space="preserve">26.7.28-4_E1 </t>
        </is>
      </c>
      <c r="L58" s="147" t="n"/>
      <c r="M58" s="147" t="n"/>
      <c r="N58" s="147" t="n">
        <v>25.38</v>
      </c>
      <c r="O58" s="147" t="inlineStr">
        <is>
          <t>Illumina Truseq文库</t>
        </is>
      </c>
      <c r="P58" s="147" t="inlineStr">
        <is>
          <t>未磷酸化</t>
        </is>
      </c>
      <c r="Q58" s="147" t="inlineStr">
        <is>
          <t>未环化</t>
        </is>
      </c>
      <c r="R58" s="147" t="inlineStr">
        <is>
          <t>A</t>
        </is>
      </c>
      <c r="S58" s="147" t="n"/>
    </row>
    <row r="59" ht="30" customHeight="1" s="76">
      <c r="A59" s="152" t="n"/>
      <c r="B59" s="144" t="inlineStr">
        <is>
          <t>HGC-Lib-26098121</t>
        </is>
      </c>
      <c r="C59" s="144" t="n">
        <v>22.77</v>
      </c>
      <c r="D59" s="145" t="n">
        <v>5</v>
      </c>
      <c r="E59" s="146">
        <f>ROUND(D59/SUM(D10:D202)*IF(C59="",50,50.0),3)</f>
        <v/>
      </c>
      <c r="F59" s="146">
        <f>ROUND(E59/C59*G203,3)</f>
        <v/>
      </c>
      <c r="G59" s="144" t="inlineStr">
        <is>
          <t>有参转录组（RNA-seq）</t>
        </is>
      </c>
      <c r="H59" s="144" t="inlineStr">
        <is>
          <t>广州奥智生物科技有限公司</t>
        </is>
      </c>
      <c r="I59" s="146" t="n"/>
      <c r="J59" s="144" t="n"/>
      <c r="K59" s="144" t="inlineStr">
        <is>
          <t xml:space="preserve">26.7.28-4_E2 </t>
        </is>
      </c>
      <c r="L59" s="147" t="n"/>
      <c r="M59" s="147" t="n"/>
      <c r="N59" s="147" t="n">
        <v>22.77</v>
      </c>
      <c r="O59" s="147" t="inlineStr">
        <is>
          <t>Illumina Truseq文库</t>
        </is>
      </c>
      <c r="P59" s="147" t="inlineStr">
        <is>
          <t>未磷酸化</t>
        </is>
      </c>
      <c r="Q59" s="147" t="inlineStr">
        <is>
          <t>未环化</t>
        </is>
      </c>
      <c r="R59" s="147" t="inlineStr">
        <is>
          <t>A</t>
        </is>
      </c>
      <c r="S59" s="147" t="n"/>
    </row>
    <row r="60" ht="30" customHeight="1" s="76">
      <c r="A60" s="152" t="n"/>
      <c r="B60" s="144" t="inlineStr">
        <is>
          <t>HGC-Lib-26098122</t>
        </is>
      </c>
      <c r="C60" s="144" t="n">
        <v>46.24</v>
      </c>
      <c r="D60" s="145" t="n">
        <v>5</v>
      </c>
      <c r="E60" s="146">
        <f>ROUND(D60/SUM(D10:D202)*IF(C60="",50,50.0),3)</f>
        <v/>
      </c>
      <c r="F60" s="146">
        <f>ROUND(E60/C60*G203,3)</f>
        <v/>
      </c>
      <c r="G60" s="144" t="inlineStr">
        <is>
          <t>有参转录组（RNA-seq）</t>
        </is>
      </c>
      <c r="H60" s="144" t="inlineStr">
        <is>
          <t>广州奥智生物科技有限公司</t>
        </is>
      </c>
      <c r="I60" s="146" t="n"/>
      <c r="J60" s="144" t="n"/>
      <c r="K60" s="144" t="inlineStr">
        <is>
          <t xml:space="preserve">26.7.28-4_E3 </t>
        </is>
      </c>
      <c r="L60" s="147" t="n"/>
      <c r="M60" s="147" t="n"/>
      <c r="N60" s="147" t="n">
        <v>46.24</v>
      </c>
      <c r="O60" s="147" t="inlineStr">
        <is>
          <t>Illumina Truseq文库</t>
        </is>
      </c>
      <c r="P60" s="147" t="inlineStr">
        <is>
          <t>未磷酸化</t>
        </is>
      </c>
      <c r="Q60" s="147" t="inlineStr">
        <is>
          <t>未环化</t>
        </is>
      </c>
      <c r="R60" s="147" t="inlineStr">
        <is>
          <t>A</t>
        </is>
      </c>
      <c r="S60" s="147" t="n"/>
    </row>
    <row r="61" ht="30" customHeight="1" s="76">
      <c r="A61" s="152" t="n"/>
      <c r="B61" s="144" t="inlineStr">
        <is>
          <t>HGC-Lib-26098123</t>
        </is>
      </c>
      <c r="C61" s="144" t="n">
        <v>35.7</v>
      </c>
      <c r="D61" s="145" t="n">
        <v>5</v>
      </c>
      <c r="E61" s="146">
        <f>ROUND(D61/SUM(D10:D202)*IF(C61="",50,50.0),3)</f>
        <v/>
      </c>
      <c r="F61" s="146">
        <f>ROUND(E61/C61*G203,3)</f>
        <v/>
      </c>
      <c r="G61" s="144" t="inlineStr">
        <is>
          <t>有参转录组（RNA-seq）</t>
        </is>
      </c>
      <c r="H61" s="144" t="inlineStr">
        <is>
          <t>广州奥智生物科技有限公司</t>
        </is>
      </c>
      <c r="I61" s="146" t="n"/>
      <c r="J61" s="144" t="n"/>
      <c r="K61" s="144" t="inlineStr">
        <is>
          <t xml:space="preserve">26.7.28-4_E4 </t>
        </is>
      </c>
      <c r="L61" s="147" t="n"/>
      <c r="M61" s="147" t="n"/>
      <c r="N61" s="147" t="n">
        <v>35.7</v>
      </c>
      <c r="O61" s="147" t="inlineStr">
        <is>
          <t>Illumina Truseq文库</t>
        </is>
      </c>
      <c r="P61" s="147" t="inlineStr">
        <is>
          <t>未磷酸化</t>
        </is>
      </c>
      <c r="Q61" s="147" t="inlineStr">
        <is>
          <t>未环化</t>
        </is>
      </c>
      <c r="R61" s="147" t="inlineStr">
        <is>
          <t>A</t>
        </is>
      </c>
      <c r="S61" s="147" t="n"/>
    </row>
    <row r="62" ht="30" customHeight="1" s="76">
      <c r="A62" s="152" t="n"/>
      <c r="B62" s="144" t="inlineStr">
        <is>
          <t>HGC-Lib-26098124</t>
        </is>
      </c>
      <c r="C62" s="144" t="n">
        <v>48.49</v>
      </c>
      <c r="D62" s="145" t="n">
        <v>5</v>
      </c>
      <c r="E62" s="146">
        <f>ROUND(D62/SUM(D10:D202)*IF(C62="",50,50.0),3)</f>
        <v/>
      </c>
      <c r="F62" s="146">
        <f>ROUND(E62/C62*G203,3)</f>
        <v/>
      </c>
      <c r="G62" s="144" t="inlineStr">
        <is>
          <t>有参转录组（RNA-seq）</t>
        </is>
      </c>
      <c r="H62" s="144" t="inlineStr">
        <is>
          <t>广州奥智生物科技有限公司</t>
        </is>
      </c>
      <c r="I62" s="146" t="n"/>
      <c r="J62" s="144" t="n"/>
      <c r="K62" s="144" t="inlineStr">
        <is>
          <t xml:space="preserve">26.7.28-4_E5 </t>
        </is>
      </c>
      <c r="L62" s="147" t="n"/>
      <c r="M62" s="147" t="n"/>
      <c r="N62" s="147" t="n">
        <v>48.49</v>
      </c>
      <c r="O62" s="147" t="inlineStr">
        <is>
          <t>Illumina Truseq文库</t>
        </is>
      </c>
      <c r="P62" s="147" t="inlineStr">
        <is>
          <t>未磷酸化</t>
        </is>
      </c>
      <c r="Q62" s="147" t="inlineStr">
        <is>
          <t>未环化</t>
        </is>
      </c>
      <c r="R62" s="147" t="inlineStr">
        <is>
          <t>A</t>
        </is>
      </c>
      <c r="S62" s="147" t="n"/>
    </row>
    <row r="63" ht="30" customHeight="1" s="76">
      <c r="A63" s="152" t="n"/>
      <c r="B63" s="144" t="inlineStr">
        <is>
          <t>HGC-Lib-26098125</t>
        </is>
      </c>
      <c r="C63" s="144" t="n">
        <v>38.01</v>
      </c>
      <c r="D63" s="145" t="n">
        <v>5</v>
      </c>
      <c r="E63" s="146">
        <f>ROUND(D63/SUM(D10:D202)*IF(C63="",50,50.0),3)</f>
        <v/>
      </c>
      <c r="F63" s="146">
        <f>ROUND(E63/C63*G203,3)</f>
        <v/>
      </c>
      <c r="G63" s="144" t="inlineStr">
        <is>
          <t>有参转录组（RNA-seq）</t>
        </is>
      </c>
      <c r="H63" s="144" t="inlineStr">
        <is>
          <t>广州奥智生物科技有限公司</t>
        </is>
      </c>
      <c r="I63" s="146" t="n"/>
      <c r="J63" s="144" t="n"/>
      <c r="K63" s="144" t="inlineStr">
        <is>
          <t xml:space="preserve">26.7.28-4_E6 </t>
        </is>
      </c>
      <c r="L63" s="147" t="n"/>
      <c r="M63" s="147" t="n"/>
      <c r="N63" s="147" t="n">
        <v>38.01</v>
      </c>
      <c r="O63" s="147" t="inlineStr">
        <is>
          <t>Illumina Truseq文库</t>
        </is>
      </c>
      <c r="P63" s="147" t="inlineStr">
        <is>
          <t>未磷酸化</t>
        </is>
      </c>
      <c r="Q63" s="147" t="inlineStr">
        <is>
          <t>未环化</t>
        </is>
      </c>
      <c r="R63" s="147" t="inlineStr">
        <is>
          <t>A</t>
        </is>
      </c>
      <c r="S63" s="147" t="n"/>
    </row>
    <row r="64" ht="30" customHeight="1" s="76">
      <c r="A64" s="152" t="n"/>
      <c r="B64" s="144" t="inlineStr">
        <is>
          <t>HGC-Lib-26098126</t>
        </is>
      </c>
      <c r="C64" s="144" t="n">
        <v>33.61</v>
      </c>
      <c r="D64" s="145" t="n">
        <v>5</v>
      </c>
      <c r="E64" s="146">
        <f>ROUND(D64/SUM(D10:D202)*IF(C64="",50,50.0),3)</f>
        <v/>
      </c>
      <c r="F64" s="146">
        <f>ROUND(E64/C64*G203,3)</f>
        <v/>
      </c>
      <c r="G64" s="144" t="inlineStr">
        <is>
          <t>有参转录组（RNA-seq）</t>
        </is>
      </c>
      <c r="H64" s="144" t="inlineStr">
        <is>
          <t>广州奥智生物科技有限公司</t>
        </is>
      </c>
      <c r="I64" s="146" t="n"/>
      <c r="J64" s="144" t="n"/>
      <c r="K64" s="144" t="inlineStr">
        <is>
          <t xml:space="preserve">26.7.28-4_E7 </t>
        </is>
      </c>
      <c r="L64" s="147" t="n"/>
      <c r="M64" s="147" t="n"/>
      <c r="N64" s="147" t="n">
        <v>33.61</v>
      </c>
      <c r="O64" s="147" t="inlineStr">
        <is>
          <t>Illumina Truseq文库</t>
        </is>
      </c>
      <c r="P64" s="147" t="inlineStr">
        <is>
          <t>未磷酸化</t>
        </is>
      </c>
      <c r="Q64" s="147" t="inlineStr">
        <is>
          <t>未环化</t>
        </is>
      </c>
      <c r="R64" s="147" t="inlineStr">
        <is>
          <t>A</t>
        </is>
      </c>
      <c r="S64" s="147" t="n"/>
    </row>
    <row r="65" ht="30" customHeight="1" s="76">
      <c r="A65" s="152" t="n"/>
      <c r="B65" s="144" t="inlineStr">
        <is>
          <t>HGC-Lib-26098127</t>
        </is>
      </c>
      <c r="C65" s="144" t="n">
        <v>35.67</v>
      </c>
      <c r="D65" s="145" t="n">
        <v>5</v>
      </c>
      <c r="E65" s="146">
        <f>ROUND(D65/SUM(D10:D202)*IF(C65="",50,50.0),3)</f>
        <v/>
      </c>
      <c r="F65" s="146">
        <f>ROUND(E65/C65*G203,3)</f>
        <v/>
      </c>
      <c r="G65" s="144" t="inlineStr">
        <is>
          <t>有参转录组（RNA-seq）</t>
        </is>
      </c>
      <c r="H65" s="144" t="inlineStr">
        <is>
          <t>广州奥智生物科技有限公司</t>
        </is>
      </c>
      <c r="I65" s="146" t="n"/>
      <c r="J65" s="144" t="n"/>
      <c r="K65" s="144" t="inlineStr">
        <is>
          <t xml:space="preserve">26.7.28-4_E8 </t>
        </is>
      </c>
      <c r="L65" s="147" t="n"/>
      <c r="M65" s="147" t="n"/>
      <c r="N65" s="147" t="n">
        <v>35.67</v>
      </c>
      <c r="O65" s="147" t="inlineStr">
        <is>
          <t>Illumina Truseq文库</t>
        </is>
      </c>
      <c r="P65" s="147" t="inlineStr">
        <is>
          <t>未磷酸化</t>
        </is>
      </c>
      <c r="Q65" s="147" t="inlineStr">
        <is>
          <t>未环化</t>
        </is>
      </c>
      <c r="R65" s="147" t="inlineStr">
        <is>
          <t>A</t>
        </is>
      </c>
      <c r="S65" s="147" t="n"/>
    </row>
    <row r="66" ht="30" customHeight="1" s="76">
      <c r="A66" s="152" t="n"/>
      <c r="B66" s="144" t="inlineStr">
        <is>
          <t>HGC-Lib-26098129</t>
        </is>
      </c>
      <c r="C66" s="144" t="n">
        <v>37.94</v>
      </c>
      <c r="D66" s="145" t="n">
        <v>5</v>
      </c>
      <c r="E66" s="146">
        <f>ROUND(D66/SUM(D10:D202)*IF(C66="",50,50.0),3)</f>
        <v/>
      </c>
      <c r="F66" s="146">
        <f>ROUND(E66/C66*G203,3)</f>
        <v/>
      </c>
      <c r="G66" s="144" t="inlineStr">
        <is>
          <t>有参转录组（RNA-seq）</t>
        </is>
      </c>
      <c r="H66" s="144" t="inlineStr">
        <is>
          <t>广州奥智生物科技有限公司</t>
        </is>
      </c>
      <c r="I66" s="146" t="n"/>
      <c r="J66" s="144" t="n"/>
      <c r="K66" s="144" t="inlineStr">
        <is>
          <t xml:space="preserve">26.7.28-4_E10 </t>
        </is>
      </c>
      <c r="L66" s="147" t="n"/>
      <c r="M66" s="147" t="n"/>
      <c r="N66" s="147" t="n">
        <v>37.94</v>
      </c>
      <c r="O66" s="147" t="inlineStr">
        <is>
          <t>Illumina Truseq文库</t>
        </is>
      </c>
      <c r="P66" s="147" t="inlineStr">
        <is>
          <t>未磷酸化</t>
        </is>
      </c>
      <c r="Q66" s="147" t="inlineStr">
        <is>
          <t>未环化</t>
        </is>
      </c>
      <c r="R66" s="147" t="inlineStr">
        <is>
          <t>A</t>
        </is>
      </c>
      <c r="S66" s="147" t="n"/>
    </row>
    <row r="67" ht="30" customHeight="1" s="76">
      <c r="A67" s="152" t="n"/>
      <c r="B67" s="144" t="inlineStr">
        <is>
          <t>HGC-Lib-26098130</t>
        </is>
      </c>
      <c r="C67" s="144" t="n">
        <v>40.92</v>
      </c>
      <c r="D67" s="145" t="n">
        <v>5</v>
      </c>
      <c r="E67" s="146">
        <f>ROUND(D67/SUM(D10:D202)*IF(C67="",50,50.0),3)</f>
        <v/>
      </c>
      <c r="F67" s="146">
        <f>ROUND(E67/C67*G203,3)</f>
        <v/>
      </c>
      <c r="G67" s="144" t="inlineStr">
        <is>
          <t>有参转录组（RNA-seq）</t>
        </is>
      </c>
      <c r="H67" s="144" t="inlineStr">
        <is>
          <t>广州奥智生物科技有限公司</t>
        </is>
      </c>
      <c r="I67" s="146" t="n"/>
      <c r="J67" s="144" t="n"/>
      <c r="K67" s="144" t="inlineStr">
        <is>
          <t xml:space="preserve">26.7.28-4_E11 </t>
        </is>
      </c>
      <c r="L67" s="147" t="n"/>
      <c r="M67" s="147" t="n"/>
      <c r="N67" s="147" t="n">
        <v>40.92</v>
      </c>
      <c r="O67" s="147" t="inlineStr">
        <is>
          <t>Illumina Truseq文库</t>
        </is>
      </c>
      <c r="P67" s="147" t="inlineStr">
        <is>
          <t>未磷酸化</t>
        </is>
      </c>
      <c r="Q67" s="147" t="inlineStr">
        <is>
          <t>未环化</t>
        </is>
      </c>
      <c r="R67" s="147" t="inlineStr">
        <is>
          <t>A</t>
        </is>
      </c>
      <c r="S67" s="147" t="n"/>
    </row>
    <row r="68" ht="30" customHeight="1" s="76">
      <c r="A68" s="152" t="n"/>
      <c r="B68" s="144" t="inlineStr">
        <is>
          <t>HGC-Lib-26098131</t>
        </is>
      </c>
      <c r="C68" s="144" t="n">
        <v>40.37</v>
      </c>
      <c r="D68" s="145" t="n">
        <v>5</v>
      </c>
      <c r="E68" s="146">
        <f>ROUND(D68/SUM(D10:D202)*IF(C68="",50,50.0),3)</f>
        <v/>
      </c>
      <c r="F68" s="146">
        <f>ROUND(E68/C68*G203,3)</f>
        <v/>
      </c>
      <c r="G68" s="144" t="inlineStr">
        <is>
          <t>有参转录组（RNA-seq）</t>
        </is>
      </c>
      <c r="H68" s="144" t="inlineStr">
        <is>
          <t>广州奥智生物科技有限公司</t>
        </is>
      </c>
      <c r="I68" s="146" t="n"/>
      <c r="J68" s="144" t="n"/>
      <c r="K68" s="144" t="inlineStr">
        <is>
          <t xml:space="preserve">26.7.28-4_E12 </t>
        </is>
      </c>
      <c r="L68" s="147" t="n"/>
      <c r="M68" s="147" t="n"/>
      <c r="N68" s="147" t="n">
        <v>40.37</v>
      </c>
      <c r="O68" s="147" t="inlineStr">
        <is>
          <t>Illumina Truseq文库</t>
        </is>
      </c>
      <c r="P68" s="147" t="inlineStr">
        <is>
          <t>未磷酸化</t>
        </is>
      </c>
      <c r="Q68" s="147" t="inlineStr">
        <is>
          <t>未环化</t>
        </is>
      </c>
      <c r="R68" s="147" t="inlineStr">
        <is>
          <t>A</t>
        </is>
      </c>
      <c r="S68" s="147" t="n"/>
    </row>
    <row r="69" ht="30" customHeight="1" s="76">
      <c r="A69" s="152" t="n"/>
      <c r="B69" s="144" t="inlineStr">
        <is>
          <t>HGC-Lib-26098132</t>
        </is>
      </c>
      <c r="C69" s="144" t="n">
        <v>28.35</v>
      </c>
      <c r="D69" s="145" t="n">
        <v>5</v>
      </c>
      <c r="E69" s="146">
        <f>ROUND(D69/SUM(D10:D202)*IF(C69="",50,50.0),3)</f>
        <v/>
      </c>
      <c r="F69" s="146">
        <f>ROUND(E69/C69*G203,3)</f>
        <v/>
      </c>
      <c r="G69" s="144" t="inlineStr">
        <is>
          <t>有参转录组（RNA-seq）</t>
        </is>
      </c>
      <c r="H69" s="144" t="inlineStr">
        <is>
          <t>广州奥智生物科技有限公司</t>
        </is>
      </c>
      <c r="I69" s="146" t="n"/>
      <c r="J69" s="144" t="n"/>
      <c r="K69" s="144" t="inlineStr">
        <is>
          <t xml:space="preserve">26.7.28-4_F1 </t>
        </is>
      </c>
      <c r="L69" s="147" t="n"/>
      <c r="M69" s="147" t="n"/>
      <c r="N69" s="147" t="n">
        <v>28.35</v>
      </c>
      <c r="O69" s="147" t="inlineStr">
        <is>
          <t>Illumina Truseq文库</t>
        </is>
      </c>
      <c r="P69" s="147" t="inlineStr">
        <is>
          <t>未磷酸化</t>
        </is>
      </c>
      <c r="Q69" s="147" t="inlineStr">
        <is>
          <t>未环化</t>
        </is>
      </c>
      <c r="R69" s="147" t="inlineStr">
        <is>
          <t>A</t>
        </is>
      </c>
      <c r="S69" s="147" t="n"/>
    </row>
    <row r="70" ht="30" customHeight="1" s="76">
      <c r="A70" s="152" t="n"/>
      <c r="B70" s="144" t="inlineStr">
        <is>
          <t>HGC-Lib-26098133</t>
        </is>
      </c>
      <c r="C70" s="144" t="n">
        <v>32.07</v>
      </c>
      <c r="D70" s="145" t="n">
        <v>5</v>
      </c>
      <c r="E70" s="146">
        <f>ROUND(D70/SUM(D10:D202)*IF(C70="",50,50.0),3)</f>
        <v/>
      </c>
      <c r="F70" s="146">
        <f>ROUND(E70/C70*G203,3)</f>
        <v/>
      </c>
      <c r="G70" s="144" t="inlineStr">
        <is>
          <t>有参转录组（RNA-seq）</t>
        </is>
      </c>
      <c r="H70" s="144" t="inlineStr">
        <is>
          <t>广州奥智生物科技有限公司</t>
        </is>
      </c>
      <c r="I70" s="146" t="n"/>
      <c r="J70" s="144" t="n"/>
      <c r="K70" s="144" t="inlineStr">
        <is>
          <t xml:space="preserve">26.7.28-4_F2 </t>
        </is>
      </c>
      <c r="L70" s="147" t="n"/>
      <c r="M70" s="147" t="n"/>
      <c r="N70" s="147" t="n">
        <v>32.07</v>
      </c>
      <c r="O70" s="147" t="inlineStr">
        <is>
          <t>Illumina Truseq文库</t>
        </is>
      </c>
      <c r="P70" s="147" t="inlineStr">
        <is>
          <t>未磷酸化</t>
        </is>
      </c>
      <c r="Q70" s="147" t="inlineStr">
        <is>
          <t>未环化</t>
        </is>
      </c>
      <c r="R70" s="147" t="inlineStr">
        <is>
          <t>A</t>
        </is>
      </c>
      <c r="S70" s="147" t="n"/>
    </row>
    <row r="71" ht="30" customHeight="1" s="76">
      <c r="A71" s="152" t="n"/>
      <c r="B71" s="144" t="inlineStr">
        <is>
          <t>HGC-Lib-26098134</t>
        </is>
      </c>
      <c r="C71" s="144" t="n">
        <v>35.38</v>
      </c>
      <c r="D71" s="145" t="n">
        <v>5</v>
      </c>
      <c r="E71" s="146">
        <f>ROUND(D71/SUM(D10:D202)*IF(C71="",50,50.0),3)</f>
        <v/>
      </c>
      <c r="F71" s="146">
        <f>ROUND(E71/C71*G203,3)</f>
        <v/>
      </c>
      <c r="G71" s="144" t="inlineStr">
        <is>
          <t>有参转录组（RNA-seq）</t>
        </is>
      </c>
      <c r="H71" s="144" t="inlineStr">
        <is>
          <t>广州奥智生物科技有限公司</t>
        </is>
      </c>
      <c r="I71" s="146" t="n"/>
      <c r="J71" s="144" t="n"/>
      <c r="K71" s="144" t="inlineStr">
        <is>
          <t xml:space="preserve">26.7.28-4_F3 </t>
        </is>
      </c>
      <c r="L71" s="147" t="n"/>
      <c r="M71" s="147" t="n"/>
      <c r="N71" s="147" t="n">
        <v>35.38</v>
      </c>
      <c r="O71" s="147" t="inlineStr">
        <is>
          <t>Illumina Truseq文库</t>
        </is>
      </c>
      <c r="P71" s="147" t="inlineStr">
        <is>
          <t>未磷酸化</t>
        </is>
      </c>
      <c r="Q71" s="147" t="inlineStr">
        <is>
          <t>未环化</t>
        </is>
      </c>
      <c r="R71" s="147" t="inlineStr">
        <is>
          <t>A</t>
        </is>
      </c>
      <c r="S71" s="147" t="n"/>
    </row>
    <row r="72" ht="30" customHeight="1" s="76">
      <c r="A72" s="152" t="n"/>
      <c r="B72" s="144" t="inlineStr">
        <is>
          <t>HGC-Lib-26098135</t>
        </is>
      </c>
      <c r="C72" s="144" t="n">
        <v>31.16</v>
      </c>
      <c r="D72" s="145" t="n">
        <v>5</v>
      </c>
      <c r="E72" s="146">
        <f>ROUND(D72/SUM(D10:D202)*IF(C72="",50,50.0),3)</f>
        <v/>
      </c>
      <c r="F72" s="146">
        <f>ROUND(E72/C72*G203,3)</f>
        <v/>
      </c>
      <c r="G72" s="144" t="inlineStr">
        <is>
          <t>有参转录组（RNA-seq）</t>
        </is>
      </c>
      <c r="H72" s="144" t="inlineStr">
        <is>
          <t>广州奥智生物科技有限公司</t>
        </is>
      </c>
      <c r="I72" s="146" t="n"/>
      <c r="J72" s="144" t="n"/>
      <c r="K72" s="144" t="inlineStr">
        <is>
          <t xml:space="preserve">26.7.28-4_F4 </t>
        </is>
      </c>
      <c r="L72" s="147" t="n"/>
      <c r="M72" s="147" t="n"/>
      <c r="N72" s="147" t="n">
        <v>31.16</v>
      </c>
      <c r="O72" s="147" t="inlineStr">
        <is>
          <t>Illumina Truseq文库</t>
        </is>
      </c>
      <c r="P72" s="147" t="inlineStr">
        <is>
          <t>未磷酸化</t>
        </is>
      </c>
      <c r="Q72" s="147" t="inlineStr">
        <is>
          <t>未环化</t>
        </is>
      </c>
      <c r="R72" s="147" t="inlineStr">
        <is>
          <t>A</t>
        </is>
      </c>
      <c r="S72" s="147" t="n"/>
    </row>
    <row r="73" ht="30" customHeight="1" s="76">
      <c r="A73" s="152" t="n"/>
      <c r="B73" s="144" t="inlineStr">
        <is>
          <t>HGC-Lib-26098136</t>
        </is>
      </c>
      <c r="C73" s="144" t="n">
        <v>31.9</v>
      </c>
      <c r="D73" s="145" t="n">
        <v>5</v>
      </c>
      <c r="E73" s="146">
        <f>ROUND(D73/SUM(D10:D202)*IF(C73="",50,50.0),3)</f>
        <v/>
      </c>
      <c r="F73" s="146">
        <f>ROUND(E73/C73*G203,3)</f>
        <v/>
      </c>
      <c r="G73" s="144" t="inlineStr">
        <is>
          <t>有参转录组（RNA-seq）</t>
        </is>
      </c>
      <c r="H73" s="144" t="inlineStr">
        <is>
          <t>广州奥智生物科技有限公司</t>
        </is>
      </c>
      <c r="I73" s="146" t="n"/>
      <c r="J73" s="144" t="n"/>
      <c r="K73" s="144" t="inlineStr">
        <is>
          <t xml:space="preserve">26.7.28-4_F5 </t>
        </is>
      </c>
      <c r="L73" s="147" t="n"/>
      <c r="M73" s="147" t="n"/>
      <c r="N73" s="147" t="n">
        <v>31.9</v>
      </c>
      <c r="O73" s="147" t="inlineStr">
        <is>
          <t>Illumina Truseq文库</t>
        </is>
      </c>
      <c r="P73" s="147" t="inlineStr">
        <is>
          <t>未磷酸化</t>
        </is>
      </c>
      <c r="Q73" s="147" t="inlineStr">
        <is>
          <t>未环化</t>
        </is>
      </c>
      <c r="R73" s="147" t="inlineStr">
        <is>
          <t>A</t>
        </is>
      </c>
      <c r="S73" s="147" t="n"/>
    </row>
    <row r="74" ht="30" customHeight="1" s="76">
      <c r="A74" s="152" t="n"/>
      <c r="B74" s="144" t="inlineStr">
        <is>
          <t>HGC-Lib-26098137</t>
        </is>
      </c>
      <c r="C74" s="144" t="n">
        <v>18.53</v>
      </c>
      <c r="D74" s="145" t="n">
        <v>5</v>
      </c>
      <c r="E74" s="146">
        <f>ROUND(D74/SUM(D10:D202)*IF(C74="",50,50.0),3)</f>
        <v/>
      </c>
      <c r="F74" s="146">
        <f>ROUND(E74/C74*G203,3)</f>
        <v/>
      </c>
      <c r="G74" s="144" t="inlineStr">
        <is>
          <t>有参转录组（RNA-seq）</t>
        </is>
      </c>
      <c r="H74" s="144" t="inlineStr">
        <is>
          <t>广州奥智生物科技有限公司</t>
        </is>
      </c>
      <c r="I74" s="146" t="n"/>
      <c r="J74" s="144" t="n"/>
      <c r="K74" s="144" t="inlineStr">
        <is>
          <t xml:space="preserve">26.7.28-4_F6 </t>
        </is>
      </c>
      <c r="L74" s="147" t="n"/>
      <c r="M74" s="147" t="n"/>
      <c r="N74" s="147" t="n">
        <v>18.53</v>
      </c>
      <c r="O74" s="147" t="inlineStr">
        <is>
          <t>Illumina Truseq文库</t>
        </is>
      </c>
      <c r="P74" s="147" t="inlineStr">
        <is>
          <t>未磷酸化</t>
        </is>
      </c>
      <c r="Q74" s="147" t="inlineStr">
        <is>
          <t>未环化</t>
        </is>
      </c>
      <c r="R74" s="147" t="inlineStr">
        <is>
          <t>A</t>
        </is>
      </c>
      <c r="S74" s="147" t="n"/>
    </row>
    <row r="75" ht="30" customHeight="1" s="76">
      <c r="A75" s="152" t="n"/>
      <c r="B75" s="144" t="inlineStr">
        <is>
          <t>HGC-Lib-26098138</t>
        </is>
      </c>
      <c r="C75" s="144" t="n">
        <v>31.75</v>
      </c>
      <c r="D75" s="145" t="n">
        <v>5</v>
      </c>
      <c r="E75" s="146">
        <f>ROUND(D75/SUM(D10:D202)*IF(C75="",50,50.0),3)</f>
        <v/>
      </c>
      <c r="F75" s="146">
        <f>ROUND(E75/C75*G203,3)</f>
        <v/>
      </c>
      <c r="G75" s="144" t="inlineStr">
        <is>
          <t>有参转录组（RNA-seq）</t>
        </is>
      </c>
      <c r="H75" s="144" t="inlineStr">
        <is>
          <t>广州奥智生物科技有限公司</t>
        </is>
      </c>
      <c r="I75" s="146" t="n"/>
      <c r="J75" s="144" t="n"/>
      <c r="K75" s="144" t="inlineStr">
        <is>
          <t xml:space="preserve">26.7.28-4_F7 </t>
        </is>
      </c>
      <c r="L75" s="147" t="n"/>
      <c r="M75" s="147" t="n"/>
      <c r="N75" s="147" t="n">
        <v>31.75</v>
      </c>
      <c r="O75" s="147" t="inlineStr">
        <is>
          <t>Illumina Truseq文库</t>
        </is>
      </c>
      <c r="P75" s="147" t="inlineStr">
        <is>
          <t>未磷酸化</t>
        </is>
      </c>
      <c r="Q75" s="147" t="inlineStr">
        <is>
          <t>未环化</t>
        </is>
      </c>
      <c r="R75" s="147" t="inlineStr">
        <is>
          <t>A</t>
        </is>
      </c>
      <c r="S75" s="147" t="n"/>
    </row>
    <row r="76" ht="30" customHeight="1" s="76">
      <c r="A76" s="152" t="n"/>
      <c r="B76" s="144" t="inlineStr">
        <is>
          <t>HGC-Lib-26098139</t>
        </is>
      </c>
      <c r="C76" s="144" t="n">
        <v>18.48</v>
      </c>
      <c r="D76" s="145" t="n">
        <v>5</v>
      </c>
      <c r="E76" s="146">
        <f>ROUND(D76/SUM(D10:D202)*IF(C76="",50,50.0),3)</f>
        <v/>
      </c>
      <c r="F76" s="146">
        <f>ROUND(E76/C76*G203,3)</f>
        <v/>
      </c>
      <c r="G76" s="144" t="inlineStr">
        <is>
          <t>有参转录组（RNA-seq）</t>
        </is>
      </c>
      <c r="H76" s="144" t="inlineStr">
        <is>
          <t>广州奥智生物科技有限公司</t>
        </is>
      </c>
      <c r="I76" s="146" t="n"/>
      <c r="J76" s="144" t="n"/>
      <c r="K76" s="144" t="inlineStr">
        <is>
          <t xml:space="preserve">26.7.28-4_F8 </t>
        </is>
      </c>
      <c r="L76" s="147" t="n"/>
      <c r="M76" s="147" t="n"/>
      <c r="N76" s="147" t="n">
        <v>18.48</v>
      </c>
      <c r="O76" s="147" t="inlineStr">
        <is>
          <t>Illumina Truseq文库</t>
        </is>
      </c>
      <c r="P76" s="147" t="inlineStr">
        <is>
          <t>未磷酸化</t>
        </is>
      </c>
      <c r="Q76" s="147" t="inlineStr">
        <is>
          <t>未环化</t>
        </is>
      </c>
      <c r="R76" s="147" t="inlineStr">
        <is>
          <t>A</t>
        </is>
      </c>
      <c r="S76" s="147" t="n"/>
    </row>
    <row r="77" ht="30" customHeight="1" s="76">
      <c r="A77" s="152" t="n"/>
      <c r="B77" s="144" t="inlineStr">
        <is>
          <t>HGC-Lib-26098140</t>
        </is>
      </c>
      <c r="C77" s="144" t="n">
        <v>58.19</v>
      </c>
      <c r="D77" s="145" t="n">
        <v>5</v>
      </c>
      <c r="E77" s="146">
        <f>ROUND(D77/SUM(D10:D202)*IF(C77="",50,50.0),3)</f>
        <v/>
      </c>
      <c r="F77" s="146">
        <f>ROUND(E77/C77*G203,3)</f>
        <v/>
      </c>
      <c r="G77" s="144" t="inlineStr">
        <is>
          <t>有参转录组（RNA-seq）</t>
        </is>
      </c>
      <c r="H77" s="144" t="inlineStr">
        <is>
          <t>广州奥智生物科技有限公司</t>
        </is>
      </c>
      <c r="I77" s="146" t="n"/>
      <c r="J77" s="144" t="n"/>
      <c r="K77" s="144" t="inlineStr">
        <is>
          <t xml:space="preserve">26.7.28-4_F9 </t>
        </is>
      </c>
      <c r="L77" s="147" t="n"/>
      <c r="M77" s="147" t="n"/>
      <c r="N77" s="147" t="n">
        <v>58.19</v>
      </c>
      <c r="O77" s="147" t="inlineStr">
        <is>
          <t>Illumina Truseq文库</t>
        </is>
      </c>
      <c r="P77" s="147" t="inlineStr">
        <is>
          <t>未磷酸化</t>
        </is>
      </c>
      <c r="Q77" s="147" t="inlineStr">
        <is>
          <t>未环化</t>
        </is>
      </c>
      <c r="R77" s="147" t="inlineStr">
        <is>
          <t>A</t>
        </is>
      </c>
      <c r="S77" s="147" t="n"/>
    </row>
    <row r="78" ht="30" customHeight="1" s="76">
      <c r="A78" s="152" t="n"/>
      <c r="B78" s="144" t="inlineStr">
        <is>
          <t>HGC-Lib-26098141</t>
        </is>
      </c>
      <c r="C78" s="144" t="n">
        <v>42.58</v>
      </c>
      <c r="D78" s="145" t="n">
        <v>5</v>
      </c>
      <c r="E78" s="146">
        <f>ROUND(D78/SUM(D10:D202)*IF(C78="",50,50.0),3)</f>
        <v/>
      </c>
      <c r="F78" s="146">
        <f>ROUND(E78/C78*G203,3)</f>
        <v/>
      </c>
      <c r="G78" s="144" t="inlineStr">
        <is>
          <t>有参转录组（RNA-seq）</t>
        </is>
      </c>
      <c r="H78" s="144" t="inlineStr">
        <is>
          <t>广州奥智生物科技有限公司</t>
        </is>
      </c>
      <c r="I78" s="146" t="n"/>
      <c r="J78" s="144" t="n"/>
      <c r="K78" s="144" t="inlineStr">
        <is>
          <t xml:space="preserve">26.7.28-4_F10 </t>
        </is>
      </c>
      <c r="L78" s="147" t="n"/>
      <c r="M78" s="147" t="n"/>
      <c r="N78" s="147" t="n">
        <v>42.58</v>
      </c>
      <c r="O78" s="147" t="inlineStr">
        <is>
          <t>Illumina Truseq文库</t>
        </is>
      </c>
      <c r="P78" s="147" t="inlineStr">
        <is>
          <t>未磷酸化</t>
        </is>
      </c>
      <c r="Q78" s="147" t="inlineStr">
        <is>
          <t>未环化</t>
        </is>
      </c>
      <c r="R78" s="147" t="inlineStr">
        <is>
          <t>A</t>
        </is>
      </c>
      <c r="S78" s="147" t="n"/>
    </row>
    <row r="79" ht="30" customHeight="1" s="76">
      <c r="A79" s="152" t="n"/>
      <c r="B79" s="144" t="inlineStr">
        <is>
          <t>HGC-Lib-26098142</t>
        </is>
      </c>
      <c r="C79" s="144" t="n">
        <v>29.6</v>
      </c>
      <c r="D79" s="145" t="n">
        <v>5</v>
      </c>
      <c r="E79" s="146">
        <f>ROUND(D79/SUM(D10:D202)*IF(C79="",50,50.0),3)</f>
        <v/>
      </c>
      <c r="F79" s="146">
        <f>ROUND(E79/C79*G203,3)</f>
        <v/>
      </c>
      <c r="G79" s="144" t="inlineStr">
        <is>
          <t>有参转录组（RNA-seq）</t>
        </is>
      </c>
      <c r="H79" s="144" t="inlineStr">
        <is>
          <t>广州奥智生物科技有限公司</t>
        </is>
      </c>
      <c r="I79" s="146" t="n"/>
      <c r="J79" s="144" t="n"/>
      <c r="K79" s="144" t="inlineStr">
        <is>
          <t xml:space="preserve">26.7.28-4_F11 </t>
        </is>
      </c>
      <c r="L79" s="147" t="n"/>
      <c r="M79" s="147" t="n"/>
      <c r="N79" s="147" t="n">
        <v>29.6</v>
      </c>
      <c r="O79" s="147" t="inlineStr">
        <is>
          <t>Illumina Truseq文库</t>
        </is>
      </c>
      <c r="P79" s="147" t="inlineStr">
        <is>
          <t>未磷酸化</t>
        </is>
      </c>
      <c r="Q79" s="147" t="inlineStr">
        <is>
          <t>未环化</t>
        </is>
      </c>
      <c r="R79" s="147" t="inlineStr">
        <is>
          <t>A</t>
        </is>
      </c>
      <c r="S79" s="147" t="n"/>
    </row>
    <row r="80" ht="30" customHeight="1" s="76">
      <c r="A80" s="152" t="n"/>
      <c r="B80" s="144" t="inlineStr">
        <is>
          <t>HGC-Lib-26098144</t>
        </is>
      </c>
      <c r="C80" s="144" t="n">
        <v>15.47</v>
      </c>
      <c r="D80" s="145" t="n">
        <v>5</v>
      </c>
      <c r="E80" s="146">
        <f>ROUND(D80/SUM(D10:D202)*IF(C80="",50,50.0),3)</f>
        <v/>
      </c>
      <c r="F80" s="146">
        <f>ROUND(E80/C80*G203,3)</f>
        <v/>
      </c>
      <c r="G80" s="144" t="inlineStr">
        <is>
          <t>有参转录组（RNA-seq）</t>
        </is>
      </c>
      <c r="H80" s="144" t="inlineStr">
        <is>
          <t>广州奥智生物科技有限公司</t>
        </is>
      </c>
      <c r="I80" s="146" t="n"/>
      <c r="J80" s="144" t="n"/>
      <c r="K80" s="144" t="inlineStr">
        <is>
          <t xml:space="preserve">26.7.28-4_G1 </t>
        </is>
      </c>
      <c r="L80" s="147" t="n"/>
      <c r="M80" s="147" t="n"/>
      <c r="N80" s="147" t="n">
        <v>15.47</v>
      </c>
      <c r="O80" s="147" t="inlineStr">
        <is>
          <t>Illumina Truseq文库</t>
        </is>
      </c>
      <c r="P80" s="147" t="inlineStr">
        <is>
          <t>未磷酸化</t>
        </is>
      </c>
      <c r="Q80" s="147" t="inlineStr">
        <is>
          <t>未环化</t>
        </is>
      </c>
      <c r="R80" s="147" t="inlineStr">
        <is>
          <t>A</t>
        </is>
      </c>
      <c r="S80" s="147" t="n"/>
    </row>
    <row r="81" ht="30" customHeight="1" s="76">
      <c r="A81" s="152" t="n"/>
      <c r="B81" s="144" t="inlineStr">
        <is>
          <t>HGC-Lib-26098145</t>
        </is>
      </c>
      <c r="C81" s="144" t="n">
        <v>19.74</v>
      </c>
      <c r="D81" s="145" t="n">
        <v>5</v>
      </c>
      <c r="E81" s="146">
        <f>ROUND(D81/SUM(D10:D202)*IF(C81="",50,50.0),3)</f>
        <v/>
      </c>
      <c r="F81" s="146">
        <f>ROUND(E81/C81*G203,3)</f>
        <v/>
      </c>
      <c r="G81" s="144" t="inlineStr">
        <is>
          <t>有参转录组（RNA-seq）</t>
        </is>
      </c>
      <c r="H81" s="144" t="inlineStr">
        <is>
          <t>广州奥智生物科技有限公司</t>
        </is>
      </c>
      <c r="I81" s="146" t="n"/>
      <c r="J81" s="144" t="n"/>
      <c r="K81" s="144" t="inlineStr">
        <is>
          <t xml:space="preserve">26.7.28-4_G2 </t>
        </is>
      </c>
      <c r="L81" s="147" t="n"/>
      <c r="M81" s="147" t="n"/>
      <c r="N81" s="147" t="n">
        <v>19.74</v>
      </c>
      <c r="O81" s="147" t="inlineStr">
        <is>
          <t>Illumina Truseq文库</t>
        </is>
      </c>
      <c r="P81" s="147" t="inlineStr">
        <is>
          <t>未磷酸化</t>
        </is>
      </c>
      <c r="Q81" s="147" t="inlineStr">
        <is>
          <t>未环化</t>
        </is>
      </c>
      <c r="R81" s="147" t="inlineStr">
        <is>
          <t>A</t>
        </is>
      </c>
      <c r="S81" s="147" t="n"/>
    </row>
    <row r="82" ht="30" customHeight="1" s="76">
      <c r="A82" s="152" t="n"/>
      <c r="B82" s="144" t="inlineStr">
        <is>
          <t>HGC-Lib-26098146</t>
        </is>
      </c>
      <c r="C82" s="144" t="n">
        <v>30.15</v>
      </c>
      <c r="D82" s="145" t="n">
        <v>5</v>
      </c>
      <c r="E82" s="146">
        <f>ROUND(D82/SUM(D10:D202)*IF(C82="",50,50.0),3)</f>
        <v/>
      </c>
      <c r="F82" s="146">
        <f>ROUND(E82/C82*G203,3)</f>
        <v/>
      </c>
      <c r="G82" s="144" t="inlineStr">
        <is>
          <t>有参转录组（RNA-seq）</t>
        </is>
      </c>
      <c r="H82" s="144" t="inlineStr">
        <is>
          <t>广州奥智生物科技有限公司</t>
        </is>
      </c>
      <c r="I82" s="146" t="n"/>
      <c r="J82" s="144" t="n"/>
      <c r="K82" s="144" t="inlineStr">
        <is>
          <t xml:space="preserve">26.7.28-4_G3 </t>
        </is>
      </c>
      <c r="L82" s="147" t="n"/>
      <c r="M82" s="147" t="n"/>
      <c r="N82" s="147" t="n">
        <v>30.15</v>
      </c>
      <c r="O82" s="147" t="inlineStr">
        <is>
          <t>Illumina Truseq文库</t>
        </is>
      </c>
      <c r="P82" s="147" t="inlineStr">
        <is>
          <t>未磷酸化</t>
        </is>
      </c>
      <c r="Q82" s="147" t="inlineStr">
        <is>
          <t>未环化</t>
        </is>
      </c>
      <c r="R82" s="147" t="inlineStr">
        <is>
          <t>A</t>
        </is>
      </c>
      <c r="S82" s="147" t="n"/>
    </row>
    <row r="83" ht="30" customHeight="1" s="76">
      <c r="A83" s="152" t="n"/>
      <c r="B83" s="144" t="inlineStr">
        <is>
          <t>HGC-Lib-26098147</t>
        </is>
      </c>
      <c r="C83" s="144" t="n">
        <v>41.74</v>
      </c>
      <c r="D83" s="145" t="n">
        <v>5</v>
      </c>
      <c r="E83" s="146">
        <f>ROUND(D83/SUM(D10:D202)*IF(C83="",50,50.0),3)</f>
        <v/>
      </c>
      <c r="F83" s="146">
        <f>ROUND(E83/C83*G203,3)</f>
        <v/>
      </c>
      <c r="G83" s="144" t="inlineStr">
        <is>
          <t>有参转录组（RNA-seq）</t>
        </is>
      </c>
      <c r="H83" s="144" t="inlineStr">
        <is>
          <t>广州奥智生物科技有限公司</t>
        </is>
      </c>
      <c r="I83" s="146" t="n"/>
      <c r="J83" s="144" t="n"/>
      <c r="K83" s="144" t="inlineStr">
        <is>
          <t xml:space="preserve">26.7.28-4_G4 </t>
        </is>
      </c>
      <c r="L83" s="147" t="n"/>
      <c r="M83" s="147" t="n"/>
      <c r="N83" s="147" t="n">
        <v>41.74</v>
      </c>
      <c r="O83" s="147" t="inlineStr">
        <is>
          <t>Illumina Truseq文库</t>
        </is>
      </c>
      <c r="P83" s="147" t="inlineStr">
        <is>
          <t>未磷酸化</t>
        </is>
      </c>
      <c r="Q83" s="147" t="inlineStr">
        <is>
          <t>未环化</t>
        </is>
      </c>
      <c r="R83" s="147" t="inlineStr">
        <is>
          <t>A</t>
        </is>
      </c>
      <c r="S83" s="147" t="n"/>
    </row>
    <row r="84" ht="30" customHeight="1" s="76">
      <c r="A84" s="152" t="n"/>
      <c r="B84" s="144" t="inlineStr">
        <is>
          <t>HGC-Lib-26098148</t>
        </is>
      </c>
      <c r="C84" s="144" t="n">
        <v>46.94</v>
      </c>
      <c r="D84" s="145" t="n">
        <v>5</v>
      </c>
      <c r="E84" s="146">
        <f>ROUND(D84/SUM(D10:D202)*IF(C84="",50,50.0),3)</f>
        <v/>
      </c>
      <c r="F84" s="146">
        <f>ROUND(E84/C84*G203,3)</f>
        <v/>
      </c>
      <c r="G84" s="144" t="inlineStr">
        <is>
          <t>有参转录组（RNA-seq）</t>
        </is>
      </c>
      <c r="H84" s="144" t="inlineStr">
        <is>
          <t>广州奥智生物科技有限公司</t>
        </is>
      </c>
      <c r="I84" s="146" t="n"/>
      <c r="J84" s="144" t="n"/>
      <c r="K84" s="144" t="inlineStr">
        <is>
          <t xml:space="preserve">26.7.28-4_G5 </t>
        </is>
      </c>
      <c r="L84" s="147" t="n"/>
      <c r="M84" s="147" t="n"/>
      <c r="N84" s="147" t="n">
        <v>46.94</v>
      </c>
      <c r="O84" s="147" t="inlineStr">
        <is>
          <t>Illumina Truseq文库</t>
        </is>
      </c>
      <c r="P84" s="147" t="inlineStr">
        <is>
          <t>未磷酸化</t>
        </is>
      </c>
      <c r="Q84" s="147" t="inlineStr">
        <is>
          <t>未环化</t>
        </is>
      </c>
      <c r="R84" s="147" t="inlineStr">
        <is>
          <t>A</t>
        </is>
      </c>
      <c r="S84" s="147" t="n"/>
    </row>
    <row r="85" ht="30" customHeight="1" s="76">
      <c r="A85" s="152" t="n"/>
      <c r="B85" s="144" t="inlineStr">
        <is>
          <t>HGC-Lib-26098149</t>
        </is>
      </c>
      <c r="C85" s="144" t="n">
        <v>44.46</v>
      </c>
      <c r="D85" s="145" t="n">
        <v>5</v>
      </c>
      <c r="E85" s="146">
        <f>ROUND(D85/SUM(D10:D202)*IF(C85="",50,50.0),3)</f>
        <v/>
      </c>
      <c r="F85" s="146">
        <f>ROUND(E85/C85*G203,3)</f>
        <v/>
      </c>
      <c r="G85" s="144" t="inlineStr">
        <is>
          <t>有参转录组（RNA-seq）</t>
        </is>
      </c>
      <c r="H85" s="144" t="inlineStr">
        <is>
          <t>广州奥智生物科技有限公司</t>
        </is>
      </c>
      <c r="I85" s="146" t="n"/>
      <c r="J85" s="144" t="n"/>
      <c r="K85" s="144" t="inlineStr">
        <is>
          <t xml:space="preserve">26.7.28-4_G6 </t>
        </is>
      </c>
      <c r="L85" s="147" t="n"/>
      <c r="M85" s="147" t="n"/>
      <c r="N85" s="147" t="n">
        <v>44.46</v>
      </c>
      <c r="O85" s="147" t="inlineStr">
        <is>
          <t>Illumina Truseq文库</t>
        </is>
      </c>
      <c r="P85" s="147" t="inlineStr">
        <is>
          <t>未磷酸化</t>
        </is>
      </c>
      <c r="Q85" s="147" t="inlineStr">
        <is>
          <t>未环化</t>
        </is>
      </c>
      <c r="R85" s="147" t="inlineStr">
        <is>
          <t>A</t>
        </is>
      </c>
      <c r="S85" s="147" t="n"/>
    </row>
    <row r="86" ht="30" customHeight="1" s="76">
      <c r="A86" s="152" t="n"/>
      <c r="B86" s="144" t="inlineStr">
        <is>
          <t>HGC-Lib-26098150</t>
        </is>
      </c>
      <c r="C86" s="144" t="n">
        <v>30.71</v>
      </c>
      <c r="D86" s="145" t="n">
        <v>5</v>
      </c>
      <c r="E86" s="146">
        <f>ROUND(D86/SUM(D10:D202)*IF(C86="",50,50.0),3)</f>
        <v/>
      </c>
      <c r="F86" s="146">
        <f>ROUND(E86/C86*G203,3)</f>
        <v/>
      </c>
      <c r="G86" s="144" t="inlineStr">
        <is>
          <t>有参转录组（RNA-seq）</t>
        </is>
      </c>
      <c r="H86" s="144" t="inlineStr">
        <is>
          <t>广州奥智生物科技有限公司</t>
        </is>
      </c>
      <c r="I86" s="146" t="n"/>
      <c r="J86" s="144" t="n"/>
      <c r="K86" s="144" t="inlineStr">
        <is>
          <t xml:space="preserve">26.7.28-4_G7 </t>
        </is>
      </c>
      <c r="L86" s="147" t="n"/>
      <c r="M86" s="147" t="n"/>
      <c r="N86" s="147" t="n">
        <v>30.71</v>
      </c>
      <c r="O86" s="147" t="inlineStr">
        <is>
          <t>Illumina Truseq文库</t>
        </is>
      </c>
      <c r="P86" s="147" t="inlineStr">
        <is>
          <t>未磷酸化</t>
        </is>
      </c>
      <c r="Q86" s="147" t="inlineStr">
        <is>
          <t>未环化</t>
        </is>
      </c>
      <c r="R86" s="147" t="inlineStr">
        <is>
          <t>A</t>
        </is>
      </c>
      <c r="S86" s="147" t="n"/>
    </row>
    <row r="87" ht="30" customHeight="1" s="76">
      <c r="A87" s="152" t="n"/>
      <c r="B87" s="144" t="inlineStr">
        <is>
          <t>HGC-Lib-26098151</t>
        </is>
      </c>
      <c r="C87" s="144" t="n">
        <v>10.21</v>
      </c>
      <c r="D87" s="145" t="n">
        <v>5</v>
      </c>
      <c r="E87" s="146">
        <f>ROUND(D87/SUM(D10:D202)*IF(C87="",50,50.0),3)</f>
        <v/>
      </c>
      <c r="F87" s="146">
        <f>ROUND(E87/C87*G203,3)</f>
        <v/>
      </c>
      <c r="G87" s="144" t="inlineStr">
        <is>
          <t>有参转录组（RNA-seq）</t>
        </is>
      </c>
      <c r="H87" s="144" t="inlineStr">
        <is>
          <t>广州奥智生物科技有限公司</t>
        </is>
      </c>
      <c r="I87" s="146" t="n"/>
      <c r="J87" s="144" t="n"/>
      <c r="K87" s="144" t="inlineStr">
        <is>
          <t xml:space="preserve">26.7.28-4_G8 </t>
        </is>
      </c>
      <c r="L87" s="147" t="n"/>
      <c r="M87" s="147" t="n"/>
      <c r="N87" s="147" t="n">
        <v>10.21</v>
      </c>
      <c r="O87" s="147" t="inlineStr">
        <is>
          <t>Illumina Truseq文库</t>
        </is>
      </c>
      <c r="P87" s="147" t="inlineStr">
        <is>
          <t>未磷酸化</t>
        </is>
      </c>
      <c r="Q87" s="147" t="inlineStr">
        <is>
          <t>未环化</t>
        </is>
      </c>
      <c r="R87" s="147" t="inlineStr">
        <is>
          <t>A</t>
        </is>
      </c>
      <c r="S87" s="147" t="n"/>
    </row>
    <row r="88" ht="30" customHeight="1" s="76">
      <c r="A88" s="152" t="n"/>
      <c r="B88" s="144" t="inlineStr">
        <is>
          <t>HGC-Lib-26098152</t>
        </is>
      </c>
      <c r="C88" s="144" t="n">
        <v>23.73</v>
      </c>
      <c r="D88" s="145" t="n">
        <v>5</v>
      </c>
      <c r="E88" s="146">
        <f>ROUND(D88/SUM(D10:D202)*IF(C88="",50,50.0),3)</f>
        <v/>
      </c>
      <c r="F88" s="146">
        <f>ROUND(E88/C88*G203,3)</f>
        <v/>
      </c>
      <c r="G88" s="144" t="inlineStr">
        <is>
          <t>有参转录组（RNA-seq）</t>
        </is>
      </c>
      <c r="H88" s="144" t="inlineStr">
        <is>
          <t>广州奥智生物科技有限公司</t>
        </is>
      </c>
      <c r="I88" s="146" t="n"/>
      <c r="J88" s="144" t="n"/>
      <c r="K88" s="144" t="inlineStr">
        <is>
          <t xml:space="preserve">26.7.28-4_G9 </t>
        </is>
      </c>
      <c r="L88" s="147" t="n"/>
      <c r="M88" s="147" t="n"/>
      <c r="N88" s="147" t="n">
        <v>23.73</v>
      </c>
      <c r="O88" s="147" t="inlineStr">
        <is>
          <t>Illumina Truseq文库</t>
        </is>
      </c>
      <c r="P88" s="147" t="inlineStr">
        <is>
          <t>未磷酸化</t>
        </is>
      </c>
      <c r="Q88" s="147" t="inlineStr">
        <is>
          <t>未环化</t>
        </is>
      </c>
      <c r="R88" s="147" t="inlineStr">
        <is>
          <t>A</t>
        </is>
      </c>
      <c r="S88" s="147" t="n"/>
    </row>
    <row r="89" ht="30" customHeight="1" s="76">
      <c r="A89" s="152" t="n"/>
      <c r="B89" s="144" t="inlineStr">
        <is>
          <t>HGC-Lib-26098153</t>
        </is>
      </c>
      <c r="C89" s="144" t="n">
        <v>16.39</v>
      </c>
      <c r="D89" s="145" t="n">
        <v>5</v>
      </c>
      <c r="E89" s="146">
        <f>ROUND(D89/SUM(D10:D202)*IF(C89="",50,50.0),3)</f>
        <v/>
      </c>
      <c r="F89" s="146">
        <f>ROUND(E89/C89*G203,3)</f>
        <v/>
      </c>
      <c r="G89" s="144" t="inlineStr">
        <is>
          <t>有参转录组（RNA-seq）</t>
        </is>
      </c>
      <c r="H89" s="144" t="inlineStr">
        <is>
          <t>广州奥智生物科技有限公司</t>
        </is>
      </c>
      <c r="I89" s="146" t="n"/>
      <c r="J89" s="144" t="n"/>
      <c r="K89" s="144" t="inlineStr">
        <is>
          <t xml:space="preserve">26.7.28-4_G10 </t>
        </is>
      </c>
      <c r="L89" s="147" t="n"/>
      <c r="M89" s="147" t="n"/>
      <c r="N89" s="147" t="n">
        <v>16.39</v>
      </c>
      <c r="O89" s="147" t="inlineStr">
        <is>
          <t>Illumina Truseq文库</t>
        </is>
      </c>
      <c r="P89" s="147" t="inlineStr">
        <is>
          <t>未磷酸化</t>
        </is>
      </c>
      <c r="Q89" s="147" t="inlineStr">
        <is>
          <t>未环化</t>
        </is>
      </c>
      <c r="R89" s="147" t="inlineStr">
        <is>
          <t>A</t>
        </is>
      </c>
      <c r="S89" s="147" t="n"/>
    </row>
    <row r="90" ht="30" customHeight="1" s="76">
      <c r="A90" s="152" t="n"/>
      <c r="B90" s="144" t="inlineStr">
        <is>
          <t>HGC-Lib-26098154</t>
        </is>
      </c>
      <c r="C90" s="144" t="n">
        <v>33.94</v>
      </c>
      <c r="D90" s="145" t="n">
        <v>5</v>
      </c>
      <c r="E90" s="146">
        <f>ROUND(D90/SUM(D10:D202)*IF(C90="",50,50.0),3)</f>
        <v/>
      </c>
      <c r="F90" s="146">
        <f>ROUND(E90/C90*G203,3)</f>
        <v/>
      </c>
      <c r="G90" s="144" t="inlineStr">
        <is>
          <t>有参转录组（RNA-seq）</t>
        </is>
      </c>
      <c r="H90" s="144" t="inlineStr">
        <is>
          <t>广州奥智生物科技有限公司</t>
        </is>
      </c>
      <c r="I90" s="146" t="n"/>
      <c r="J90" s="144" t="n"/>
      <c r="K90" s="144" t="inlineStr">
        <is>
          <t xml:space="preserve">26.7.28-4_G11 </t>
        </is>
      </c>
      <c r="L90" s="147" t="n"/>
      <c r="M90" s="147" t="n"/>
      <c r="N90" s="147" t="n">
        <v>33.94</v>
      </c>
      <c r="O90" s="147" t="inlineStr">
        <is>
          <t>Illumina Truseq文库</t>
        </is>
      </c>
      <c r="P90" s="147" t="inlineStr">
        <is>
          <t>未磷酸化</t>
        </is>
      </c>
      <c r="Q90" s="147" t="inlineStr">
        <is>
          <t>未环化</t>
        </is>
      </c>
      <c r="R90" s="147" t="inlineStr">
        <is>
          <t>A</t>
        </is>
      </c>
      <c r="S90" s="147" t="n"/>
    </row>
    <row r="91" ht="30" customHeight="1" s="76">
      <c r="A91" s="152" t="n"/>
      <c r="B91" s="144" t="inlineStr">
        <is>
          <t>HGC-Lib-26098155</t>
        </is>
      </c>
      <c r="C91" s="144" t="n">
        <v>38.19</v>
      </c>
      <c r="D91" s="145" t="n">
        <v>5</v>
      </c>
      <c r="E91" s="146">
        <f>ROUND(D91/SUM(D10:D202)*IF(C91="",50,50.0),3)</f>
        <v/>
      </c>
      <c r="F91" s="146">
        <f>ROUND(E91/C91*G203,3)</f>
        <v/>
      </c>
      <c r="G91" s="144" t="inlineStr">
        <is>
          <t>有参转录组（RNA-seq）</t>
        </is>
      </c>
      <c r="H91" s="144" t="inlineStr">
        <is>
          <t>广州奥智生物科技有限公司</t>
        </is>
      </c>
      <c r="I91" s="146" t="n"/>
      <c r="J91" s="144" t="n"/>
      <c r="K91" s="144" t="inlineStr">
        <is>
          <t xml:space="preserve">26.7.28-4_G12 </t>
        </is>
      </c>
      <c r="L91" s="147" t="n"/>
      <c r="M91" s="147" t="n"/>
      <c r="N91" s="147" t="n">
        <v>38.19</v>
      </c>
      <c r="O91" s="147" t="inlineStr">
        <is>
          <t>Illumina Truseq文库</t>
        </is>
      </c>
      <c r="P91" s="147" t="inlineStr">
        <is>
          <t>未磷酸化</t>
        </is>
      </c>
      <c r="Q91" s="147" t="inlineStr">
        <is>
          <t>未环化</t>
        </is>
      </c>
      <c r="R91" s="147" t="inlineStr">
        <is>
          <t>A</t>
        </is>
      </c>
      <c r="S91" s="147" t="n"/>
    </row>
    <row r="92" ht="30" customHeight="1" s="76">
      <c r="A92" s="152" t="n"/>
      <c r="B92" s="144" t="inlineStr">
        <is>
          <t>HGC-Lib-26098156</t>
        </is>
      </c>
      <c r="C92" s="144" t="n">
        <v>42.05</v>
      </c>
      <c r="D92" s="145" t="n">
        <v>5</v>
      </c>
      <c r="E92" s="146">
        <f>ROUND(D92/SUM(D10:D202)*IF(C92="",50,50.0),3)</f>
        <v/>
      </c>
      <c r="F92" s="146">
        <f>ROUND(E92/C92*G203,3)</f>
        <v/>
      </c>
      <c r="G92" s="144" t="inlineStr">
        <is>
          <t>有参转录组（RNA-seq）</t>
        </is>
      </c>
      <c r="H92" s="144" t="inlineStr">
        <is>
          <t>广州奥智生物科技有限公司</t>
        </is>
      </c>
      <c r="I92" s="146" t="n"/>
      <c r="J92" s="144" t="n"/>
      <c r="K92" s="144" t="inlineStr">
        <is>
          <t xml:space="preserve">26.7.28-4_H1 </t>
        </is>
      </c>
      <c r="L92" s="147" t="n"/>
      <c r="M92" s="147" t="n"/>
      <c r="N92" s="147" t="n">
        <v>42.05</v>
      </c>
      <c r="O92" s="147" t="inlineStr">
        <is>
          <t>Illumina Truseq文库</t>
        </is>
      </c>
      <c r="P92" s="147" t="inlineStr">
        <is>
          <t>未磷酸化</t>
        </is>
      </c>
      <c r="Q92" s="147" t="inlineStr">
        <is>
          <t>未环化</t>
        </is>
      </c>
      <c r="R92" s="147" t="inlineStr">
        <is>
          <t>A</t>
        </is>
      </c>
      <c r="S92" s="147" t="n"/>
    </row>
    <row r="93" ht="30" customHeight="1" s="76">
      <c r="A93" s="152" t="n"/>
      <c r="B93" s="144" t="inlineStr">
        <is>
          <t>HGC-Lib-26098157</t>
        </is>
      </c>
      <c r="C93" s="144" t="n">
        <v>41.9</v>
      </c>
      <c r="D93" s="145" t="n">
        <v>5</v>
      </c>
      <c r="E93" s="146">
        <f>ROUND(D93/SUM(D10:D202)*IF(C93="",50,50.0),3)</f>
        <v/>
      </c>
      <c r="F93" s="146">
        <f>ROUND(E93/C93*G203,3)</f>
        <v/>
      </c>
      <c r="G93" s="144" t="inlineStr">
        <is>
          <t>有参转录组（RNA-seq）</t>
        </is>
      </c>
      <c r="H93" s="144" t="inlineStr">
        <is>
          <t>广州奥智生物科技有限公司</t>
        </is>
      </c>
      <c r="I93" s="146" t="n"/>
      <c r="J93" s="144" t="n"/>
      <c r="K93" s="144" t="inlineStr">
        <is>
          <t xml:space="preserve">26.7.28-4_H2 </t>
        </is>
      </c>
      <c r="L93" s="147" t="n"/>
      <c r="M93" s="147" t="n"/>
      <c r="N93" s="147" t="n">
        <v>41.9</v>
      </c>
      <c r="O93" s="147" t="inlineStr">
        <is>
          <t>Illumina Truseq文库</t>
        </is>
      </c>
      <c r="P93" s="147" t="inlineStr">
        <is>
          <t>未磷酸化</t>
        </is>
      </c>
      <c r="Q93" s="147" t="inlineStr">
        <is>
          <t>未环化</t>
        </is>
      </c>
      <c r="R93" s="147" t="inlineStr">
        <is>
          <t>A</t>
        </is>
      </c>
      <c r="S93" s="147" t="n"/>
    </row>
    <row r="94" ht="30" customHeight="1" s="76">
      <c r="A94" s="152" t="n"/>
      <c r="B94" s="144" t="inlineStr">
        <is>
          <t>HGC-Lib-26098158</t>
        </is>
      </c>
      <c r="C94" s="144" t="n">
        <v>22.85</v>
      </c>
      <c r="D94" s="145" t="n">
        <v>5</v>
      </c>
      <c r="E94" s="146">
        <f>ROUND(D94/SUM(D10:D202)*IF(C94="",50,50.0),3)</f>
        <v/>
      </c>
      <c r="F94" s="146">
        <f>ROUND(E94/C94*G203,3)</f>
        <v/>
      </c>
      <c r="G94" s="144" t="inlineStr">
        <is>
          <t>有参转录组（RNA-seq）</t>
        </is>
      </c>
      <c r="H94" s="144" t="inlineStr">
        <is>
          <t>广州奥智生物科技有限公司</t>
        </is>
      </c>
      <c r="I94" s="146" t="n"/>
      <c r="J94" s="144" t="n"/>
      <c r="K94" s="144" t="inlineStr">
        <is>
          <t xml:space="preserve">26.7.28-4_H3 </t>
        </is>
      </c>
      <c r="L94" s="147" t="n"/>
      <c r="M94" s="147" t="n"/>
      <c r="N94" s="147" t="n">
        <v>22.85</v>
      </c>
      <c r="O94" s="147" t="inlineStr">
        <is>
          <t>Illumina Truseq文库</t>
        </is>
      </c>
      <c r="P94" s="147" t="inlineStr">
        <is>
          <t>未磷酸化</t>
        </is>
      </c>
      <c r="Q94" s="147" t="inlineStr">
        <is>
          <t>未环化</t>
        </is>
      </c>
      <c r="R94" s="147" t="inlineStr">
        <is>
          <t>A</t>
        </is>
      </c>
      <c r="S94" s="147" t="n"/>
    </row>
    <row r="95" ht="30" customHeight="1" s="76">
      <c r="A95" s="152" t="n"/>
      <c r="B95" s="144" t="inlineStr">
        <is>
          <t>HGC-Lib-26098160</t>
        </is>
      </c>
      <c r="C95" s="144" t="n">
        <v>22.62</v>
      </c>
      <c r="D95" s="145" t="n">
        <v>5</v>
      </c>
      <c r="E95" s="146">
        <f>ROUND(D95/SUM(D10:D202)*IF(C95="",50,50.0),3)</f>
        <v/>
      </c>
      <c r="F95" s="146">
        <f>ROUND(E95/C95*G203,3)</f>
        <v/>
      </c>
      <c r="G95" s="144" t="inlineStr">
        <is>
          <t>有参转录组（RNA-seq）</t>
        </is>
      </c>
      <c r="H95" s="144" t="inlineStr">
        <is>
          <t>广州奥智生物科技有限公司</t>
        </is>
      </c>
      <c r="I95" s="146" t="n"/>
      <c r="J95" s="144" t="n"/>
      <c r="K95" s="144" t="inlineStr">
        <is>
          <t xml:space="preserve">26.7.28-4_H5 </t>
        </is>
      </c>
      <c r="L95" s="147" t="n"/>
      <c r="M95" s="147" t="n"/>
      <c r="N95" s="147" t="n">
        <v>22.62</v>
      </c>
      <c r="O95" s="147" t="inlineStr">
        <is>
          <t>Illumina Truseq文库</t>
        </is>
      </c>
      <c r="P95" s="147" t="inlineStr">
        <is>
          <t>未磷酸化</t>
        </is>
      </c>
      <c r="Q95" s="147" t="inlineStr">
        <is>
          <t>未环化</t>
        </is>
      </c>
      <c r="R95" s="147" t="inlineStr">
        <is>
          <t>A</t>
        </is>
      </c>
      <c r="S95" s="147" t="n"/>
    </row>
    <row r="96" ht="30" customHeight="1" s="76">
      <c r="A96" s="152" t="n"/>
      <c r="B96" s="144" t="inlineStr">
        <is>
          <t>HGC-Lib-26098161</t>
        </is>
      </c>
      <c r="C96" s="144" t="n">
        <v>30.11</v>
      </c>
      <c r="D96" s="145" t="n">
        <v>5</v>
      </c>
      <c r="E96" s="146">
        <f>ROUND(D96/SUM(D10:D202)*IF(C96="",50,50.0),3)</f>
        <v/>
      </c>
      <c r="F96" s="146">
        <f>ROUND(E96/C96*G203,3)</f>
        <v/>
      </c>
      <c r="G96" s="144" t="inlineStr">
        <is>
          <t>有参转录组（RNA-seq）</t>
        </is>
      </c>
      <c r="H96" s="144" t="inlineStr">
        <is>
          <t>广州奥智生物科技有限公司</t>
        </is>
      </c>
      <c r="I96" s="146" t="n"/>
      <c r="J96" s="144" t="n"/>
      <c r="K96" s="144" t="inlineStr">
        <is>
          <t xml:space="preserve">26.7.28-4_H6 </t>
        </is>
      </c>
      <c r="L96" s="147" t="n"/>
      <c r="M96" s="147" t="n"/>
      <c r="N96" s="147" t="n">
        <v>30.11</v>
      </c>
      <c r="O96" s="147" t="inlineStr">
        <is>
          <t>Illumina Truseq文库</t>
        </is>
      </c>
      <c r="P96" s="147" t="inlineStr">
        <is>
          <t>未磷酸化</t>
        </is>
      </c>
      <c r="Q96" s="147" t="inlineStr">
        <is>
          <t>未环化</t>
        </is>
      </c>
      <c r="R96" s="147" t="inlineStr">
        <is>
          <t>A</t>
        </is>
      </c>
      <c r="S96" s="147" t="n"/>
    </row>
    <row r="97" ht="30" customHeight="1" s="76">
      <c r="A97" s="152" t="n"/>
      <c r="B97" s="144" t="inlineStr">
        <is>
          <t>HGC-Lib-26098162</t>
        </is>
      </c>
      <c r="C97" s="144" t="n">
        <v>24.11</v>
      </c>
      <c r="D97" s="145" t="n">
        <v>5</v>
      </c>
      <c r="E97" s="146">
        <f>ROUND(D97/SUM(D10:D202)*IF(C97="",50,50.0),3)</f>
        <v/>
      </c>
      <c r="F97" s="146">
        <f>ROUND(E97/C97*G203,3)</f>
        <v/>
      </c>
      <c r="G97" s="144" t="inlineStr">
        <is>
          <t>有参转录组（RNA-seq）</t>
        </is>
      </c>
      <c r="H97" s="144" t="inlineStr">
        <is>
          <t>广州奥智生物科技有限公司</t>
        </is>
      </c>
      <c r="I97" s="146" t="n"/>
      <c r="J97" s="144" t="n"/>
      <c r="K97" s="144" t="inlineStr">
        <is>
          <t xml:space="preserve">26.7.28-4_H7 </t>
        </is>
      </c>
      <c r="L97" s="147" t="n"/>
      <c r="M97" s="147" t="n"/>
      <c r="N97" s="147" t="n">
        <v>24.11</v>
      </c>
      <c r="O97" s="147" t="inlineStr">
        <is>
          <t>Illumina Truseq文库</t>
        </is>
      </c>
      <c r="P97" s="147" t="inlineStr">
        <is>
          <t>未磷酸化</t>
        </is>
      </c>
      <c r="Q97" s="147" t="inlineStr">
        <is>
          <t>未环化</t>
        </is>
      </c>
      <c r="R97" s="147" t="inlineStr">
        <is>
          <t>A</t>
        </is>
      </c>
      <c r="S97" s="147" t="n"/>
    </row>
    <row r="98" ht="30" customHeight="1" s="76">
      <c r="A98" s="152" t="n"/>
      <c r="B98" s="144" t="inlineStr">
        <is>
          <t>HGC-Lib-26098163</t>
        </is>
      </c>
      <c r="C98" s="144" t="n">
        <v>52.77</v>
      </c>
      <c r="D98" s="145" t="n">
        <v>5</v>
      </c>
      <c r="E98" s="146">
        <f>ROUND(D98/SUM(D10:D202)*IF(C98="",50,50.0),3)</f>
        <v/>
      </c>
      <c r="F98" s="146">
        <f>ROUND(E98/C98*G203,3)</f>
        <v/>
      </c>
      <c r="G98" s="144" t="inlineStr">
        <is>
          <t>有参转录组（RNA-seq）</t>
        </is>
      </c>
      <c r="H98" s="144" t="inlineStr">
        <is>
          <t>广州奥智生物科技有限公司</t>
        </is>
      </c>
      <c r="I98" s="146" t="n"/>
      <c r="J98" s="144" t="n"/>
      <c r="K98" s="144" t="inlineStr">
        <is>
          <t xml:space="preserve">26.7.28-4_H8 </t>
        </is>
      </c>
      <c r="L98" s="147" t="n"/>
      <c r="M98" s="147" t="n"/>
      <c r="N98" s="147" t="n">
        <v>52.77</v>
      </c>
      <c r="O98" s="147" t="inlineStr">
        <is>
          <t>Illumina Truseq文库</t>
        </is>
      </c>
      <c r="P98" s="147" t="inlineStr">
        <is>
          <t>未磷酸化</t>
        </is>
      </c>
      <c r="Q98" s="147" t="inlineStr">
        <is>
          <t>未环化</t>
        </is>
      </c>
      <c r="R98" s="147" t="inlineStr">
        <is>
          <t>A</t>
        </is>
      </c>
      <c r="S98" s="147" t="n"/>
    </row>
    <row r="99" ht="30" customHeight="1" s="76">
      <c r="A99" s="152" t="n"/>
      <c r="B99" s="144" t="inlineStr">
        <is>
          <t>HGC-Lib-26098164</t>
        </is>
      </c>
      <c r="C99" s="144" t="n">
        <v>40.93</v>
      </c>
      <c r="D99" s="145" t="n">
        <v>5</v>
      </c>
      <c r="E99" s="146">
        <f>ROUND(D99/SUM(D10:D202)*IF(C99="",50,50.0),3)</f>
        <v/>
      </c>
      <c r="F99" s="146">
        <f>ROUND(E99/C99*G203,3)</f>
        <v/>
      </c>
      <c r="G99" s="144" t="inlineStr">
        <is>
          <t>有参转录组（RNA-seq）</t>
        </is>
      </c>
      <c r="H99" s="144" t="inlineStr">
        <is>
          <t>广州奥智生物科技有限公司</t>
        </is>
      </c>
      <c r="I99" s="146" t="n"/>
      <c r="J99" s="144" t="n"/>
      <c r="K99" s="144" t="inlineStr">
        <is>
          <t xml:space="preserve">26.7.28-4_H9 </t>
        </is>
      </c>
      <c r="L99" s="147" t="n"/>
      <c r="M99" s="147" t="n"/>
      <c r="N99" s="147" t="n">
        <v>40.93</v>
      </c>
      <c r="O99" s="147" t="inlineStr">
        <is>
          <t>Illumina Truseq文库</t>
        </is>
      </c>
      <c r="P99" s="147" t="inlineStr">
        <is>
          <t>未磷酸化</t>
        </is>
      </c>
      <c r="Q99" s="147" t="inlineStr">
        <is>
          <t>未环化</t>
        </is>
      </c>
      <c r="R99" s="147" t="inlineStr">
        <is>
          <t>A</t>
        </is>
      </c>
      <c r="S99" s="147" t="n"/>
    </row>
    <row r="100" ht="30" customHeight="1" s="76">
      <c r="A100" s="152" t="n"/>
      <c r="B100" s="144" t="inlineStr">
        <is>
          <t>HGC-Lib-26098165</t>
        </is>
      </c>
      <c r="C100" s="144" t="n">
        <v>49.7</v>
      </c>
      <c r="D100" s="145" t="n">
        <v>5</v>
      </c>
      <c r="E100" s="146">
        <f>ROUND(D100/SUM(D10:D202)*IF(C100="",50,50.0),3)</f>
        <v/>
      </c>
      <c r="F100" s="146">
        <f>ROUND(E100/C100*G203,3)</f>
        <v/>
      </c>
      <c r="G100" s="144" t="inlineStr">
        <is>
          <t>有参转录组（RNA-seq）</t>
        </is>
      </c>
      <c r="H100" s="144" t="inlineStr">
        <is>
          <t>广州奥智生物科技有限公司</t>
        </is>
      </c>
      <c r="I100" s="146" t="n"/>
      <c r="J100" s="144" t="n"/>
      <c r="K100" s="144" t="inlineStr">
        <is>
          <t xml:space="preserve">26.7.28-4_H10 </t>
        </is>
      </c>
      <c r="L100" s="147" t="n"/>
      <c r="M100" s="147" t="n"/>
      <c r="N100" s="147" t="n">
        <v>49.7</v>
      </c>
      <c r="O100" s="147" t="inlineStr">
        <is>
          <t>Illumina Truseq文库</t>
        </is>
      </c>
      <c r="P100" s="147" t="inlineStr">
        <is>
          <t>未磷酸化</t>
        </is>
      </c>
      <c r="Q100" s="147" t="inlineStr">
        <is>
          <t>未环化</t>
        </is>
      </c>
      <c r="R100" s="147" t="inlineStr">
        <is>
          <t>A</t>
        </is>
      </c>
      <c r="S100" s="147" t="n"/>
    </row>
    <row r="101" ht="30" customHeight="1" s="76">
      <c r="A101" s="152" t="n"/>
      <c r="B101" s="144" t="inlineStr">
        <is>
          <t>HGC-Lib-26098166</t>
        </is>
      </c>
      <c r="C101" s="144" t="n">
        <v>28.15</v>
      </c>
      <c r="D101" s="145" t="n">
        <v>5</v>
      </c>
      <c r="E101" s="146">
        <f>ROUND(D101/SUM(D10:D202)*IF(C101="",50,50.0),3)</f>
        <v/>
      </c>
      <c r="F101" s="146">
        <f>ROUND(E101/C101*G203,3)</f>
        <v/>
      </c>
      <c r="G101" s="144" t="inlineStr">
        <is>
          <t>有参转录组（RNA-seq）</t>
        </is>
      </c>
      <c r="H101" s="144" t="inlineStr">
        <is>
          <t>广州奥智生物科技有限公司</t>
        </is>
      </c>
      <c r="I101" s="146" t="n"/>
      <c r="J101" s="144" t="n"/>
      <c r="K101" s="144" t="inlineStr">
        <is>
          <t xml:space="preserve">26.7.28-4_H11 </t>
        </is>
      </c>
      <c r="L101" s="147" t="n"/>
      <c r="M101" s="147" t="n"/>
      <c r="N101" s="147" t="n">
        <v>28.15</v>
      </c>
      <c r="O101" s="147" t="inlineStr">
        <is>
          <t>Illumina Truseq文库</t>
        </is>
      </c>
      <c r="P101" s="147" t="inlineStr">
        <is>
          <t>未磷酸化</t>
        </is>
      </c>
      <c r="Q101" s="147" t="inlineStr">
        <is>
          <t>未环化</t>
        </is>
      </c>
      <c r="R101" s="147" t="inlineStr">
        <is>
          <t>A</t>
        </is>
      </c>
      <c r="S101" s="147" t="n"/>
    </row>
    <row r="102" ht="30" customHeight="1" s="76">
      <c r="A102" s="152" t="n"/>
      <c r="B102" s="144" t="inlineStr">
        <is>
          <t>HGC-Lib-26098168</t>
        </is>
      </c>
      <c r="C102" s="144" t="n">
        <v>26.94</v>
      </c>
      <c r="D102" s="145" t="n">
        <v>5</v>
      </c>
      <c r="E102" s="146">
        <f>ROUND(D102/SUM(D10:D202)*IF(C102="",50,50.0),3)</f>
        <v/>
      </c>
      <c r="F102" s="146">
        <f>ROUND(E102/C102*G203,3)</f>
        <v/>
      </c>
      <c r="G102" s="144" t="inlineStr">
        <is>
          <t>有参转录组（RNA-seq）</t>
        </is>
      </c>
      <c r="H102" s="144" t="inlineStr">
        <is>
          <t>广州奥智生物科技有限公司</t>
        </is>
      </c>
      <c r="I102" s="146" t="n"/>
      <c r="J102" s="144" t="n"/>
      <c r="K102" s="154" t="inlineStr">
        <is>
          <t>26.7.29-3-白_A1</t>
        </is>
      </c>
      <c r="L102" s="147" t="n"/>
      <c r="M102" s="147" t="n"/>
      <c r="N102" s="147" t="n">
        <v>26.94</v>
      </c>
      <c r="O102" s="147" t="inlineStr">
        <is>
          <t>Illumina Truseq文库</t>
        </is>
      </c>
      <c r="P102" s="147" t="inlineStr">
        <is>
          <t>未磷酸化</t>
        </is>
      </c>
      <c r="Q102" s="147" t="inlineStr">
        <is>
          <t>未环化</t>
        </is>
      </c>
      <c r="R102" s="147" t="inlineStr">
        <is>
          <t>A</t>
        </is>
      </c>
      <c r="S102" s="147" t="n"/>
    </row>
    <row r="103" ht="30" customHeight="1" s="76">
      <c r="A103" s="152" t="n"/>
      <c r="B103" s="144" t="inlineStr">
        <is>
          <t>HGC-Lib-26098169</t>
        </is>
      </c>
      <c r="C103" s="144" t="n">
        <v>34.78</v>
      </c>
      <c r="D103" s="145" t="n">
        <v>5</v>
      </c>
      <c r="E103" s="146">
        <f>ROUND(D103/SUM(D10:D202)*IF(C103="",50,50.0),3)</f>
        <v/>
      </c>
      <c r="F103" s="146">
        <f>ROUND(E103/C103*G203,3)</f>
        <v/>
      </c>
      <c r="G103" s="144" t="inlineStr">
        <is>
          <t>有参转录组（RNA-seq）</t>
        </is>
      </c>
      <c r="H103" s="144" t="inlineStr">
        <is>
          <t>广州奥智生物科技有限公司</t>
        </is>
      </c>
      <c r="I103" s="146" t="n"/>
      <c r="J103" s="144" t="n"/>
      <c r="K103" s="154" t="inlineStr">
        <is>
          <t>26.7.29-3-白_A2</t>
        </is>
      </c>
      <c r="L103" s="147" t="n"/>
      <c r="M103" s="147" t="n"/>
      <c r="N103" s="147" t="n">
        <v>34.78</v>
      </c>
      <c r="O103" s="147" t="inlineStr">
        <is>
          <t>Illumina Truseq文库</t>
        </is>
      </c>
      <c r="P103" s="147" t="inlineStr">
        <is>
          <t>未磷酸化</t>
        </is>
      </c>
      <c r="Q103" s="147" t="inlineStr">
        <is>
          <t>未环化</t>
        </is>
      </c>
      <c r="R103" s="147" t="inlineStr">
        <is>
          <t>A</t>
        </is>
      </c>
      <c r="S103" s="147" t="n"/>
    </row>
    <row r="104" ht="30" customHeight="1" s="76">
      <c r="A104" s="152" t="n"/>
      <c r="B104" s="144" t="inlineStr">
        <is>
          <t>HGC-Lib-26098170</t>
        </is>
      </c>
      <c r="C104" s="144" t="n">
        <v>19.56</v>
      </c>
      <c r="D104" s="145" t="n">
        <v>5</v>
      </c>
      <c r="E104" s="146">
        <f>ROUND(D104/SUM(D10:D202)*IF(C104="",50,50.0),3)</f>
        <v/>
      </c>
      <c r="F104" s="146">
        <f>ROUND(E104/C104*G203,3)</f>
        <v/>
      </c>
      <c r="G104" s="144" t="inlineStr">
        <is>
          <t>有参转录组（RNA-seq）</t>
        </is>
      </c>
      <c r="H104" s="144" t="inlineStr">
        <is>
          <t>广州奥智生物科技有限公司</t>
        </is>
      </c>
      <c r="I104" s="146" t="n"/>
      <c r="J104" s="144" t="n"/>
      <c r="K104" s="154" t="inlineStr">
        <is>
          <t>26.7.29-3-白_A3</t>
        </is>
      </c>
      <c r="L104" s="147" t="n"/>
      <c r="M104" s="147" t="n"/>
      <c r="N104" s="147" t="n">
        <v>19.56</v>
      </c>
      <c r="O104" s="147" t="inlineStr">
        <is>
          <t>Illumina Truseq文库</t>
        </is>
      </c>
      <c r="P104" s="147" t="inlineStr">
        <is>
          <t>未磷酸化</t>
        </is>
      </c>
      <c r="Q104" s="147" t="inlineStr">
        <is>
          <t>未环化</t>
        </is>
      </c>
      <c r="R104" s="147" t="inlineStr">
        <is>
          <t>A</t>
        </is>
      </c>
      <c r="S104" s="147" t="n"/>
    </row>
    <row r="105" ht="30" customHeight="1" s="76">
      <c r="A105" s="152" t="n"/>
      <c r="B105" s="144" t="inlineStr">
        <is>
          <t>HGC-Lib-26098171</t>
        </is>
      </c>
      <c r="C105" s="144" t="n">
        <v>36.72</v>
      </c>
      <c r="D105" s="145" t="n">
        <v>5</v>
      </c>
      <c r="E105" s="146">
        <f>ROUND(D105/SUM(D10:D202)*IF(C105="",50,50.0),3)</f>
        <v/>
      </c>
      <c r="F105" s="146">
        <f>ROUND(E105/C105*G203,3)</f>
        <v/>
      </c>
      <c r="G105" s="144" t="inlineStr">
        <is>
          <t>有参转录组（RNA-seq）</t>
        </is>
      </c>
      <c r="H105" s="144" t="inlineStr">
        <is>
          <t>广州奥智生物科技有限公司</t>
        </is>
      </c>
      <c r="I105" s="146" t="n"/>
      <c r="J105" s="144" t="n"/>
      <c r="K105" s="154" t="inlineStr">
        <is>
          <t>26.7.29-3-白_A4</t>
        </is>
      </c>
      <c r="L105" s="147" t="n"/>
      <c r="M105" s="147" t="n"/>
      <c r="N105" s="147" t="n">
        <v>36.72</v>
      </c>
      <c r="O105" s="147" t="inlineStr">
        <is>
          <t>Illumina Truseq文库</t>
        </is>
      </c>
      <c r="P105" s="147" t="inlineStr">
        <is>
          <t>未磷酸化</t>
        </is>
      </c>
      <c r="Q105" s="147" t="inlineStr">
        <is>
          <t>未环化</t>
        </is>
      </c>
      <c r="R105" s="147" t="inlineStr">
        <is>
          <t>A</t>
        </is>
      </c>
      <c r="S105" s="147" t="n"/>
    </row>
    <row r="106" ht="30" customHeight="1" s="76">
      <c r="A106" s="152" t="n"/>
      <c r="B106" s="144" t="inlineStr">
        <is>
          <t>HGC-Lib-26098172</t>
        </is>
      </c>
      <c r="C106" s="144" t="n">
        <v>27.09</v>
      </c>
      <c r="D106" s="145" t="n">
        <v>5</v>
      </c>
      <c r="E106" s="146">
        <f>ROUND(D106/SUM(D10:D202)*IF(C106="",50,50.0),3)</f>
        <v/>
      </c>
      <c r="F106" s="146">
        <f>ROUND(E106/C106*G203,3)</f>
        <v/>
      </c>
      <c r="G106" s="144" t="inlineStr">
        <is>
          <t>有参转录组（RNA-seq）</t>
        </is>
      </c>
      <c r="H106" s="144" t="inlineStr">
        <is>
          <t>广州奥智生物科技有限公司</t>
        </is>
      </c>
      <c r="I106" s="146" t="n"/>
      <c r="J106" s="144" t="n"/>
      <c r="K106" s="154" t="inlineStr">
        <is>
          <t>26.7.29-3-白_A5</t>
        </is>
      </c>
      <c r="L106" s="147" t="n"/>
      <c r="M106" s="147" t="n"/>
      <c r="N106" s="147" t="n">
        <v>27.09</v>
      </c>
      <c r="O106" s="147" t="inlineStr">
        <is>
          <t>Illumina Truseq文库</t>
        </is>
      </c>
      <c r="P106" s="147" t="inlineStr">
        <is>
          <t>未磷酸化</t>
        </is>
      </c>
      <c r="Q106" s="147" t="inlineStr">
        <is>
          <t>未环化</t>
        </is>
      </c>
      <c r="R106" s="147" t="inlineStr">
        <is>
          <t>A</t>
        </is>
      </c>
      <c r="S106" s="147" t="n"/>
    </row>
    <row r="107" ht="30" customHeight="1" s="76">
      <c r="A107" s="152" t="n"/>
      <c r="B107" s="144" t="inlineStr">
        <is>
          <t>HGC-Lib-26098173</t>
        </is>
      </c>
      <c r="C107" s="144" t="n">
        <v>26.06</v>
      </c>
      <c r="D107" s="145" t="n">
        <v>5</v>
      </c>
      <c r="E107" s="146">
        <f>ROUND(D107/SUM(D10:D202)*IF(C107="",50,50.0),3)</f>
        <v/>
      </c>
      <c r="F107" s="146">
        <f>ROUND(E107/C107*G203,3)</f>
        <v/>
      </c>
      <c r="G107" s="144" t="inlineStr">
        <is>
          <t>有参转录组（RNA-seq）</t>
        </is>
      </c>
      <c r="H107" s="144" t="inlineStr">
        <is>
          <t>广州奥智生物科技有限公司</t>
        </is>
      </c>
      <c r="I107" s="146" t="n"/>
      <c r="J107" s="144" t="n"/>
      <c r="K107" s="154" t="inlineStr">
        <is>
          <t>26.7.29-3-白_A6</t>
        </is>
      </c>
      <c r="L107" s="147" t="n"/>
      <c r="M107" s="147" t="n"/>
      <c r="N107" s="147" t="n">
        <v>26.06</v>
      </c>
      <c r="O107" s="147" t="inlineStr">
        <is>
          <t>Illumina Truseq文库</t>
        </is>
      </c>
      <c r="P107" s="147" t="inlineStr">
        <is>
          <t>未磷酸化</t>
        </is>
      </c>
      <c r="Q107" s="147" t="inlineStr">
        <is>
          <t>未环化</t>
        </is>
      </c>
      <c r="R107" s="147" t="inlineStr">
        <is>
          <t>A</t>
        </is>
      </c>
      <c r="S107" s="147" t="n"/>
    </row>
    <row r="108" ht="30" customHeight="1" s="76">
      <c r="A108" s="152" t="n"/>
      <c r="B108" s="144" t="inlineStr">
        <is>
          <t>HGC-Lib-26098174</t>
        </is>
      </c>
      <c r="C108" s="144" t="n">
        <v>29.69</v>
      </c>
      <c r="D108" s="145" t="n">
        <v>5</v>
      </c>
      <c r="E108" s="146">
        <f>ROUND(D108/SUM(D10:D202)*IF(C108="",50,50.0),3)</f>
        <v/>
      </c>
      <c r="F108" s="146">
        <f>ROUND(E108/C108*G203,3)</f>
        <v/>
      </c>
      <c r="G108" s="144" t="inlineStr">
        <is>
          <t>有参转录组（RNA-seq）</t>
        </is>
      </c>
      <c r="H108" s="144" t="inlineStr">
        <is>
          <t>广州奥智生物科技有限公司</t>
        </is>
      </c>
      <c r="I108" s="146" t="n"/>
      <c r="J108" s="144" t="n"/>
      <c r="K108" s="154" t="inlineStr">
        <is>
          <t>26.7.29-3-白_A7</t>
        </is>
      </c>
      <c r="L108" s="147" t="n"/>
      <c r="M108" s="147" t="n"/>
      <c r="N108" s="147" t="n">
        <v>29.69</v>
      </c>
      <c r="O108" s="147" t="inlineStr">
        <is>
          <t>Illumina Truseq文库</t>
        </is>
      </c>
      <c r="P108" s="147" t="inlineStr">
        <is>
          <t>未磷酸化</t>
        </is>
      </c>
      <c r="Q108" s="147" t="inlineStr">
        <is>
          <t>未环化</t>
        </is>
      </c>
      <c r="R108" s="147" t="inlineStr">
        <is>
          <t>A</t>
        </is>
      </c>
      <c r="S108" s="147" t="n"/>
    </row>
    <row r="109" ht="30" customHeight="1" s="76">
      <c r="A109" s="152" t="n"/>
      <c r="B109" s="144" t="inlineStr">
        <is>
          <t>HGC-Lib-26098175</t>
        </is>
      </c>
      <c r="C109" s="144" t="n">
        <v>33.74</v>
      </c>
      <c r="D109" s="145" t="n">
        <v>5</v>
      </c>
      <c r="E109" s="146">
        <f>ROUND(D109/SUM(D10:D202)*IF(C109="",50,50.0),3)</f>
        <v/>
      </c>
      <c r="F109" s="146">
        <f>ROUND(E109/C109*G203,3)</f>
        <v/>
      </c>
      <c r="G109" s="144" t="inlineStr">
        <is>
          <t>有参转录组（RNA-seq）</t>
        </is>
      </c>
      <c r="H109" s="144" t="inlineStr">
        <is>
          <t>广州奥智生物科技有限公司</t>
        </is>
      </c>
      <c r="I109" s="146" t="n"/>
      <c r="J109" s="144" t="n"/>
      <c r="K109" s="154" t="inlineStr">
        <is>
          <t>26.7.29-3-白_A8</t>
        </is>
      </c>
      <c r="L109" s="147" t="n"/>
      <c r="M109" s="147" t="n"/>
      <c r="N109" s="147" t="n">
        <v>33.74</v>
      </c>
      <c r="O109" s="147" t="inlineStr">
        <is>
          <t>Illumina Truseq文库</t>
        </is>
      </c>
      <c r="P109" s="147" t="inlineStr">
        <is>
          <t>未磷酸化</t>
        </is>
      </c>
      <c r="Q109" s="147" t="inlineStr">
        <is>
          <t>未环化</t>
        </is>
      </c>
      <c r="R109" s="147" t="inlineStr">
        <is>
          <t>A</t>
        </is>
      </c>
      <c r="S109" s="147" t="n"/>
    </row>
    <row r="110" ht="30" customHeight="1" s="76">
      <c r="A110" s="152" t="n"/>
      <c r="B110" s="144" t="inlineStr">
        <is>
          <t>HGC-Lib-26098176</t>
        </is>
      </c>
      <c r="C110" s="144" t="n">
        <v>30.3</v>
      </c>
      <c r="D110" s="145" t="n">
        <v>5</v>
      </c>
      <c r="E110" s="146">
        <f>ROUND(D110/SUM(D10:D202)*IF(C110="",50,50.0),3)</f>
        <v/>
      </c>
      <c r="F110" s="146">
        <f>ROUND(E110/C110*G203,3)</f>
        <v/>
      </c>
      <c r="G110" s="144" t="inlineStr">
        <is>
          <t>有参转录组（RNA-seq）</t>
        </is>
      </c>
      <c r="H110" s="144" t="inlineStr">
        <is>
          <t>广州奥智生物科技有限公司</t>
        </is>
      </c>
      <c r="I110" s="146" t="n"/>
      <c r="J110" s="144" t="n"/>
      <c r="K110" s="154" t="inlineStr">
        <is>
          <t>26.7.29-3-白_A9</t>
        </is>
      </c>
      <c r="L110" s="147" t="n"/>
      <c r="M110" s="147" t="n"/>
      <c r="N110" s="147" t="n">
        <v>30.3</v>
      </c>
      <c r="O110" s="147" t="inlineStr">
        <is>
          <t>Illumina Truseq文库</t>
        </is>
      </c>
      <c r="P110" s="147" t="inlineStr">
        <is>
          <t>未磷酸化</t>
        </is>
      </c>
      <c r="Q110" s="147" t="inlineStr">
        <is>
          <t>未环化</t>
        </is>
      </c>
      <c r="R110" s="147" t="inlineStr">
        <is>
          <t>A</t>
        </is>
      </c>
      <c r="S110" s="147" t="n"/>
    </row>
    <row r="111" ht="30" customHeight="1" s="76">
      <c r="A111" s="152" t="n"/>
      <c r="B111" s="144" t="inlineStr">
        <is>
          <t>HGC-Lib-26098177</t>
        </is>
      </c>
      <c r="C111" s="144" t="n">
        <v>24.08</v>
      </c>
      <c r="D111" s="145" t="n">
        <v>5</v>
      </c>
      <c r="E111" s="146">
        <f>ROUND(D111/SUM(D10:D202)*IF(C111="",50,50.0),3)</f>
        <v/>
      </c>
      <c r="F111" s="146">
        <f>ROUND(E111/C111*G203,3)</f>
        <v/>
      </c>
      <c r="G111" s="144" t="inlineStr">
        <is>
          <t>有参转录组（RNA-seq）</t>
        </is>
      </c>
      <c r="H111" s="144" t="inlineStr">
        <is>
          <t>广州奥智生物科技有限公司</t>
        </is>
      </c>
      <c r="I111" s="146" t="n"/>
      <c r="J111" s="144" t="n"/>
      <c r="K111" s="154" t="inlineStr">
        <is>
          <t>26.7.29-3-白_A10</t>
        </is>
      </c>
      <c r="L111" s="147" t="n"/>
      <c r="M111" s="147" t="n"/>
      <c r="N111" s="147" t="n">
        <v>24.08</v>
      </c>
      <c r="O111" s="147" t="inlineStr">
        <is>
          <t>Illumina Truseq文库</t>
        </is>
      </c>
      <c r="P111" s="147" t="inlineStr">
        <is>
          <t>未磷酸化</t>
        </is>
      </c>
      <c r="Q111" s="147" t="inlineStr">
        <is>
          <t>未环化</t>
        </is>
      </c>
      <c r="R111" s="147" t="inlineStr">
        <is>
          <t>A</t>
        </is>
      </c>
      <c r="S111" s="147" t="n"/>
    </row>
    <row r="112" ht="30" customHeight="1" s="76">
      <c r="A112" s="152" t="n"/>
      <c r="B112" s="144" t="inlineStr">
        <is>
          <t>HGC-Lib-26098178</t>
        </is>
      </c>
      <c r="C112" s="144" t="n">
        <v>24.53</v>
      </c>
      <c r="D112" s="145" t="n">
        <v>5</v>
      </c>
      <c r="E112" s="146">
        <f>ROUND(D112/SUM(D10:D202)*IF(C112="",50,50.0),3)</f>
        <v/>
      </c>
      <c r="F112" s="146">
        <f>ROUND(E112/C112*G203,3)</f>
        <v/>
      </c>
      <c r="G112" s="144" t="inlineStr">
        <is>
          <t>有参转录组（RNA-seq）</t>
        </is>
      </c>
      <c r="H112" s="144" t="inlineStr">
        <is>
          <t>广州奥智生物科技有限公司</t>
        </is>
      </c>
      <c r="I112" s="146" t="n"/>
      <c r="J112" s="144" t="n"/>
      <c r="K112" s="154" t="inlineStr">
        <is>
          <t>26.7.29-3-白_A11</t>
        </is>
      </c>
      <c r="L112" s="147" t="n"/>
      <c r="M112" s="147" t="n"/>
      <c r="N112" s="147" t="n">
        <v>24.53</v>
      </c>
      <c r="O112" s="147" t="inlineStr">
        <is>
          <t>Illumina Truseq文库</t>
        </is>
      </c>
      <c r="P112" s="147" t="inlineStr">
        <is>
          <t>未磷酸化</t>
        </is>
      </c>
      <c r="Q112" s="147" t="inlineStr">
        <is>
          <t>未环化</t>
        </is>
      </c>
      <c r="R112" s="147" t="inlineStr">
        <is>
          <t>A</t>
        </is>
      </c>
      <c r="S112" s="147" t="n"/>
    </row>
    <row r="113" ht="30" customHeight="1" s="76">
      <c r="A113" s="152" t="n"/>
      <c r="B113" s="144" t="inlineStr">
        <is>
          <t>HGC-Lib-26098179</t>
        </is>
      </c>
      <c r="C113" s="144" t="n">
        <v>24.35</v>
      </c>
      <c r="D113" s="145" t="n">
        <v>5</v>
      </c>
      <c r="E113" s="146">
        <f>ROUND(D113/SUM(D10:D202)*IF(C113="",50,50.0),3)</f>
        <v/>
      </c>
      <c r="F113" s="146">
        <f>ROUND(E113/C113*G203,3)</f>
        <v/>
      </c>
      <c r="G113" s="144" t="inlineStr">
        <is>
          <t>有参转录组（RNA-seq）</t>
        </is>
      </c>
      <c r="H113" s="144" t="inlineStr">
        <is>
          <t>广州奥智生物科技有限公司</t>
        </is>
      </c>
      <c r="I113" s="146" t="n"/>
      <c r="J113" s="144" t="n"/>
      <c r="K113" s="154" t="inlineStr">
        <is>
          <t>26.7.29-3-白_A12</t>
        </is>
      </c>
      <c r="L113" s="147" t="n"/>
      <c r="M113" s="147" t="n"/>
      <c r="N113" s="147" t="n">
        <v>24.35</v>
      </c>
      <c r="O113" s="147" t="inlineStr">
        <is>
          <t>Illumina Truseq文库</t>
        </is>
      </c>
      <c r="P113" s="147" t="inlineStr">
        <is>
          <t>未磷酸化</t>
        </is>
      </c>
      <c r="Q113" s="147" t="inlineStr">
        <is>
          <t>未环化</t>
        </is>
      </c>
      <c r="R113" s="147" t="inlineStr">
        <is>
          <t>A</t>
        </is>
      </c>
      <c r="S113" s="147" t="n"/>
    </row>
    <row r="114" ht="30" customHeight="1" s="76">
      <c r="A114" s="152" t="n"/>
      <c r="B114" s="144" t="inlineStr">
        <is>
          <t>HGC-Lib-26098180</t>
        </is>
      </c>
      <c r="C114" s="144" t="n">
        <v>20.51</v>
      </c>
      <c r="D114" s="145" t="n">
        <v>5</v>
      </c>
      <c r="E114" s="146">
        <f>ROUND(D114/SUM(D10:D202)*IF(C114="",50,50.0),3)</f>
        <v/>
      </c>
      <c r="F114" s="146">
        <f>ROUND(E114/C114*G203,3)</f>
        <v/>
      </c>
      <c r="G114" s="144" t="inlineStr">
        <is>
          <t>有参转录组（RNA-seq）</t>
        </is>
      </c>
      <c r="H114" s="144" t="inlineStr">
        <is>
          <t>广州奥智生物科技有限公司</t>
        </is>
      </c>
      <c r="I114" s="146" t="n"/>
      <c r="J114" s="144" t="n"/>
      <c r="K114" s="154" t="inlineStr">
        <is>
          <t>26.7.29-3-白_B1</t>
        </is>
      </c>
      <c r="L114" s="147" t="n"/>
      <c r="M114" s="147" t="n"/>
      <c r="N114" s="147" t="n">
        <v>20.51</v>
      </c>
      <c r="O114" s="147" t="inlineStr">
        <is>
          <t>Illumina Truseq文库</t>
        </is>
      </c>
      <c r="P114" s="147" t="inlineStr">
        <is>
          <t>未磷酸化</t>
        </is>
      </c>
      <c r="Q114" s="147" t="inlineStr">
        <is>
          <t>未环化</t>
        </is>
      </c>
      <c r="R114" s="147" t="inlineStr">
        <is>
          <t>A</t>
        </is>
      </c>
      <c r="S114" s="147" t="n"/>
    </row>
    <row r="115" ht="30" customHeight="1" s="76">
      <c r="A115" s="152" t="n"/>
      <c r="B115" s="144" t="inlineStr">
        <is>
          <t>HGC-Lib-26098181</t>
        </is>
      </c>
      <c r="C115" s="144" t="n">
        <v>21.7</v>
      </c>
      <c r="D115" s="145" t="n">
        <v>5</v>
      </c>
      <c r="E115" s="146">
        <f>ROUND(D115/SUM(D10:D202)*IF(C115="",50,50.0),3)</f>
        <v/>
      </c>
      <c r="F115" s="146">
        <f>ROUND(E115/C115*G203,3)</f>
        <v/>
      </c>
      <c r="G115" s="144" t="inlineStr">
        <is>
          <t>有参转录组（RNA-seq）</t>
        </is>
      </c>
      <c r="H115" s="144" t="inlineStr">
        <is>
          <t>广州奥智生物科技有限公司</t>
        </is>
      </c>
      <c r="I115" s="146" t="n"/>
      <c r="J115" s="144" t="n"/>
      <c r="K115" s="154" t="inlineStr">
        <is>
          <t>26.7.29-3-白_B2</t>
        </is>
      </c>
      <c r="L115" s="147" t="n"/>
      <c r="M115" s="147" t="n"/>
      <c r="N115" s="147" t="n">
        <v>21.7</v>
      </c>
      <c r="O115" s="147" t="inlineStr">
        <is>
          <t>Illumina Truseq文库</t>
        </is>
      </c>
      <c r="P115" s="147" t="inlineStr">
        <is>
          <t>未磷酸化</t>
        </is>
      </c>
      <c r="Q115" s="147" t="inlineStr">
        <is>
          <t>未环化</t>
        </is>
      </c>
      <c r="R115" s="147" t="inlineStr">
        <is>
          <t>A</t>
        </is>
      </c>
      <c r="S115" s="147" t="n"/>
    </row>
    <row r="116" ht="30" customHeight="1" s="76">
      <c r="A116" s="152" t="n"/>
      <c r="B116" s="144" t="inlineStr">
        <is>
          <t>HGC-Lib-26098182</t>
        </is>
      </c>
      <c r="C116" s="144" t="n">
        <v>25.81</v>
      </c>
      <c r="D116" s="145" t="n">
        <v>5</v>
      </c>
      <c r="E116" s="146">
        <f>ROUND(D116/SUM(D10:D202)*IF(C116="",50,50.0),3)</f>
        <v/>
      </c>
      <c r="F116" s="146">
        <f>ROUND(E116/C116*G203,3)</f>
        <v/>
      </c>
      <c r="G116" s="144" t="inlineStr">
        <is>
          <t>有参转录组（RNA-seq）</t>
        </is>
      </c>
      <c r="H116" s="144" t="inlineStr">
        <is>
          <t>广州奥智生物科技有限公司</t>
        </is>
      </c>
      <c r="I116" s="146" t="n"/>
      <c r="J116" s="144" t="n"/>
      <c r="K116" s="154" t="inlineStr">
        <is>
          <t>26.7.29-3-白_B3</t>
        </is>
      </c>
      <c r="L116" s="147" t="n"/>
      <c r="M116" s="147" t="n"/>
      <c r="N116" s="147" t="n">
        <v>25.81</v>
      </c>
      <c r="O116" s="147" t="inlineStr">
        <is>
          <t>Illumina Truseq文库</t>
        </is>
      </c>
      <c r="P116" s="147" t="inlineStr">
        <is>
          <t>未磷酸化</t>
        </is>
      </c>
      <c r="Q116" s="147" t="inlineStr">
        <is>
          <t>未环化</t>
        </is>
      </c>
      <c r="R116" s="147" t="inlineStr">
        <is>
          <t>A</t>
        </is>
      </c>
      <c r="S116" s="147" t="n"/>
    </row>
    <row r="117" ht="30" customHeight="1" s="76">
      <c r="A117" s="152" t="n"/>
      <c r="B117" s="144" t="inlineStr">
        <is>
          <t>HGC-Lib-26098183</t>
        </is>
      </c>
      <c r="C117" s="144" t="n">
        <v>27.63</v>
      </c>
      <c r="D117" s="145" t="n">
        <v>5</v>
      </c>
      <c r="E117" s="146">
        <f>ROUND(D117/SUM(D10:D202)*IF(C117="",50,50.0),3)</f>
        <v/>
      </c>
      <c r="F117" s="146">
        <f>ROUND(E117/C117*G203,3)</f>
        <v/>
      </c>
      <c r="G117" s="144" t="inlineStr">
        <is>
          <t>有参转录组（RNA-seq）</t>
        </is>
      </c>
      <c r="H117" s="144" t="inlineStr">
        <is>
          <t>广州奥智生物科技有限公司</t>
        </is>
      </c>
      <c r="I117" s="146" t="n"/>
      <c r="J117" s="144" t="n"/>
      <c r="K117" s="154" t="inlineStr">
        <is>
          <t>26.7.29-3-白_B4</t>
        </is>
      </c>
      <c r="L117" s="147" t="n"/>
      <c r="M117" s="147" t="n"/>
      <c r="N117" s="147" t="n">
        <v>27.63</v>
      </c>
      <c r="O117" s="147" t="inlineStr">
        <is>
          <t>Illumina Truseq文库</t>
        </is>
      </c>
      <c r="P117" s="147" t="inlineStr">
        <is>
          <t>未磷酸化</t>
        </is>
      </c>
      <c r="Q117" s="147" t="inlineStr">
        <is>
          <t>未环化</t>
        </is>
      </c>
      <c r="R117" s="147" t="inlineStr">
        <is>
          <t>A</t>
        </is>
      </c>
      <c r="S117" s="147" t="n"/>
    </row>
    <row r="118" ht="30" customHeight="1" s="76">
      <c r="A118" s="152" t="n"/>
      <c r="B118" s="144" t="inlineStr">
        <is>
          <t>HGC-Lib-26098184</t>
        </is>
      </c>
      <c r="C118" s="144" t="n">
        <v>25.25</v>
      </c>
      <c r="D118" s="145" t="n">
        <v>5</v>
      </c>
      <c r="E118" s="146">
        <f>ROUND(D118/SUM(D10:D202)*IF(C118="",50,50.0),3)</f>
        <v/>
      </c>
      <c r="F118" s="146">
        <f>ROUND(E118/C118*G203,3)</f>
        <v/>
      </c>
      <c r="G118" s="144" t="inlineStr">
        <is>
          <t>有参转录组（RNA-seq）</t>
        </is>
      </c>
      <c r="H118" s="144" t="inlineStr">
        <is>
          <t>广州奥智生物科技有限公司</t>
        </is>
      </c>
      <c r="I118" s="146" t="n"/>
      <c r="J118" s="144" t="n"/>
      <c r="K118" s="154" t="inlineStr">
        <is>
          <t>26.7.29-3-白_B5</t>
        </is>
      </c>
      <c r="L118" s="147" t="n"/>
      <c r="M118" s="147" t="n"/>
      <c r="N118" s="147" t="n">
        <v>25.25</v>
      </c>
      <c r="O118" s="147" t="inlineStr">
        <is>
          <t>Illumina Truseq文库</t>
        </is>
      </c>
      <c r="P118" s="147" t="inlineStr">
        <is>
          <t>未磷酸化</t>
        </is>
      </c>
      <c r="Q118" s="147" t="inlineStr">
        <is>
          <t>未环化</t>
        </is>
      </c>
      <c r="R118" s="147" t="inlineStr">
        <is>
          <t>A</t>
        </is>
      </c>
      <c r="S118" s="147" t="n"/>
    </row>
    <row r="119" ht="30" customHeight="1" s="76">
      <c r="A119" s="152" t="n"/>
      <c r="B119" s="144" t="inlineStr">
        <is>
          <t>HGC-Lib-26098185</t>
        </is>
      </c>
      <c r="C119" s="144" t="n">
        <v>22.71</v>
      </c>
      <c r="D119" s="145" t="n">
        <v>5</v>
      </c>
      <c r="E119" s="146">
        <f>ROUND(D119/SUM(D10:D202)*IF(C119="",50,50.0),3)</f>
        <v/>
      </c>
      <c r="F119" s="146">
        <f>ROUND(E119/C119*G203,3)</f>
        <v/>
      </c>
      <c r="G119" s="144" t="inlineStr">
        <is>
          <t>有参转录组（RNA-seq）</t>
        </is>
      </c>
      <c r="H119" s="144" t="inlineStr">
        <is>
          <t>广州奥智生物科技有限公司</t>
        </is>
      </c>
      <c r="I119" s="146" t="n"/>
      <c r="J119" s="144" t="n"/>
      <c r="K119" s="154" t="inlineStr">
        <is>
          <t>26.7.29-3-白_B6</t>
        </is>
      </c>
      <c r="L119" s="147" t="n"/>
      <c r="M119" s="147" t="n"/>
      <c r="N119" s="147" t="n">
        <v>22.71</v>
      </c>
      <c r="O119" s="147" t="inlineStr">
        <is>
          <t>Illumina Truseq文库</t>
        </is>
      </c>
      <c r="P119" s="147" t="inlineStr">
        <is>
          <t>未磷酸化</t>
        </is>
      </c>
      <c r="Q119" s="147" t="inlineStr">
        <is>
          <t>未环化</t>
        </is>
      </c>
      <c r="R119" s="147" t="inlineStr">
        <is>
          <t>A</t>
        </is>
      </c>
      <c r="S119" s="147" t="n"/>
    </row>
    <row r="120" ht="30" customHeight="1" s="76">
      <c r="A120" s="152" t="n"/>
      <c r="B120" s="144" t="inlineStr">
        <is>
          <t>HGC-Lib-26098186</t>
        </is>
      </c>
      <c r="C120" s="144" t="n">
        <v>27.21</v>
      </c>
      <c r="D120" s="145" t="n">
        <v>5</v>
      </c>
      <c r="E120" s="146">
        <f>ROUND(D120/SUM(D10:D202)*IF(C120="",50,50.0),3)</f>
        <v/>
      </c>
      <c r="F120" s="146">
        <f>ROUND(E120/C120*G203,3)</f>
        <v/>
      </c>
      <c r="G120" s="144" t="inlineStr">
        <is>
          <t>有参转录组（RNA-seq）</t>
        </is>
      </c>
      <c r="H120" s="144" t="inlineStr">
        <is>
          <t>广州奥智生物科技有限公司</t>
        </is>
      </c>
      <c r="I120" s="146" t="n"/>
      <c r="J120" s="144" t="n"/>
      <c r="K120" s="154" t="inlineStr">
        <is>
          <t>26.7.29-3-白_B7</t>
        </is>
      </c>
      <c r="L120" s="147" t="n"/>
      <c r="M120" s="147" t="n"/>
      <c r="N120" s="147" t="n">
        <v>27.21</v>
      </c>
      <c r="O120" s="147" t="inlineStr">
        <is>
          <t>Illumina Truseq文库</t>
        </is>
      </c>
      <c r="P120" s="147" t="inlineStr">
        <is>
          <t>未磷酸化</t>
        </is>
      </c>
      <c r="Q120" s="147" t="inlineStr">
        <is>
          <t>未环化</t>
        </is>
      </c>
      <c r="R120" s="147" t="inlineStr">
        <is>
          <t>A</t>
        </is>
      </c>
      <c r="S120" s="147" t="n"/>
    </row>
    <row r="121" ht="30" customHeight="1" s="76">
      <c r="A121" s="152" t="n"/>
      <c r="B121" s="144" t="inlineStr">
        <is>
          <t>HGC-Lib-26098187</t>
        </is>
      </c>
      <c r="C121" s="144" t="n">
        <v>26.29</v>
      </c>
      <c r="D121" s="145" t="n">
        <v>5</v>
      </c>
      <c r="E121" s="146">
        <f>ROUND(D121/SUM(D10:D202)*IF(C121="",50,50.0),3)</f>
        <v/>
      </c>
      <c r="F121" s="146">
        <f>ROUND(E121/C121*G203,3)</f>
        <v/>
      </c>
      <c r="G121" s="144" t="inlineStr">
        <is>
          <t>有参转录组（RNA-seq）</t>
        </is>
      </c>
      <c r="H121" s="144" t="inlineStr">
        <is>
          <t>广州奥智生物科技有限公司</t>
        </is>
      </c>
      <c r="I121" s="146" t="n"/>
      <c r="J121" s="144" t="n"/>
      <c r="K121" s="154" t="inlineStr">
        <is>
          <t>26.7.29-3-白_B8</t>
        </is>
      </c>
      <c r="L121" s="147" t="n"/>
      <c r="M121" s="147" t="n"/>
      <c r="N121" s="147" t="n">
        <v>26.29</v>
      </c>
      <c r="O121" s="147" t="inlineStr">
        <is>
          <t>Illumina Truseq文库</t>
        </is>
      </c>
      <c r="P121" s="147" t="inlineStr">
        <is>
          <t>未磷酸化</t>
        </is>
      </c>
      <c r="Q121" s="147" t="inlineStr">
        <is>
          <t>未环化</t>
        </is>
      </c>
      <c r="R121" s="147" t="inlineStr">
        <is>
          <t>A</t>
        </is>
      </c>
      <c r="S121" s="147" t="n"/>
    </row>
    <row r="122" ht="30" customHeight="1" s="76">
      <c r="A122" s="152" t="n"/>
      <c r="B122" s="144" t="inlineStr">
        <is>
          <t>HGC-Lib-26098188</t>
        </is>
      </c>
      <c r="C122" s="144" t="n">
        <v>26.21</v>
      </c>
      <c r="D122" s="145" t="n">
        <v>5</v>
      </c>
      <c r="E122" s="146">
        <f>ROUND(D122/SUM(D10:D202)*IF(C122="",50,50.0),3)</f>
        <v/>
      </c>
      <c r="F122" s="146">
        <f>ROUND(E122/C122*G203,3)</f>
        <v/>
      </c>
      <c r="G122" s="144" t="inlineStr">
        <is>
          <t>有参转录组（RNA-seq）</t>
        </is>
      </c>
      <c r="H122" s="144" t="inlineStr">
        <is>
          <t>广州奥智生物科技有限公司</t>
        </is>
      </c>
      <c r="I122" s="146" t="n"/>
      <c r="J122" s="144" t="n"/>
      <c r="K122" s="154" t="inlineStr">
        <is>
          <t>26.7.29-3-白_B9</t>
        </is>
      </c>
      <c r="L122" s="147" t="n"/>
      <c r="M122" s="147" t="n"/>
      <c r="N122" s="147" t="n">
        <v>26.21</v>
      </c>
      <c r="O122" s="147" t="inlineStr">
        <is>
          <t>Illumina Truseq文库</t>
        </is>
      </c>
      <c r="P122" s="147" t="inlineStr">
        <is>
          <t>未磷酸化</t>
        </is>
      </c>
      <c r="Q122" s="147" t="inlineStr">
        <is>
          <t>未环化</t>
        </is>
      </c>
      <c r="R122" s="147" t="inlineStr">
        <is>
          <t>A</t>
        </is>
      </c>
      <c r="S122" s="147" t="n"/>
    </row>
    <row r="123" ht="30" customHeight="1" s="76">
      <c r="A123" s="152" t="n"/>
      <c r="B123" s="144" t="inlineStr">
        <is>
          <t>HGC-Lib-26098189</t>
        </is>
      </c>
      <c r="C123" s="144" t="n">
        <v>21.07</v>
      </c>
      <c r="D123" s="145" t="n">
        <v>5</v>
      </c>
      <c r="E123" s="146">
        <f>ROUND(D123/SUM(D10:D202)*IF(C123="",50,50.0),3)</f>
        <v/>
      </c>
      <c r="F123" s="146">
        <f>ROUND(E123/C123*G203,3)</f>
        <v/>
      </c>
      <c r="G123" s="144" t="inlineStr">
        <is>
          <t>有参转录组（RNA-seq）</t>
        </is>
      </c>
      <c r="H123" s="144" t="inlineStr">
        <is>
          <t>广州奥智生物科技有限公司</t>
        </is>
      </c>
      <c r="I123" s="146" t="n"/>
      <c r="J123" s="144" t="n"/>
      <c r="K123" s="154" t="inlineStr">
        <is>
          <t>26.7.29-3-白_B10</t>
        </is>
      </c>
      <c r="L123" s="147" t="n"/>
      <c r="M123" s="147" t="n"/>
      <c r="N123" s="147" t="n">
        <v>21.07</v>
      </c>
      <c r="O123" s="147" t="inlineStr">
        <is>
          <t>Illumina Truseq文库</t>
        </is>
      </c>
      <c r="P123" s="147" t="inlineStr">
        <is>
          <t>未磷酸化</t>
        </is>
      </c>
      <c r="Q123" s="147" t="inlineStr">
        <is>
          <t>未环化</t>
        </is>
      </c>
      <c r="R123" s="147" t="inlineStr">
        <is>
          <t>A</t>
        </is>
      </c>
      <c r="S123" s="147" t="n"/>
    </row>
    <row r="124" ht="30" customHeight="1" s="76">
      <c r="A124" s="152" t="n"/>
      <c r="B124" s="144" t="inlineStr">
        <is>
          <t>HGC-Lib-26098190</t>
        </is>
      </c>
      <c r="C124" s="144" t="n">
        <v>19.55</v>
      </c>
      <c r="D124" s="145" t="n">
        <v>5</v>
      </c>
      <c r="E124" s="146">
        <f>ROUND(D124/SUM(D10:D202)*IF(C124="",50,50.0),3)</f>
        <v/>
      </c>
      <c r="F124" s="146">
        <f>ROUND(E124/C124*G203,3)</f>
        <v/>
      </c>
      <c r="G124" s="144" t="inlineStr">
        <is>
          <t>有参转录组（RNA-seq）</t>
        </is>
      </c>
      <c r="H124" s="144" t="inlineStr">
        <is>
          <t>广州奥智生物科技有限公司</t>
        </is>
      </c>
      <c r="I124" s="146" t="n"/>
      <c r="J124" s="144" t="n"/>
      <c r="K124" s="154" t="inlineStr">
        <is>
          <t>26.7.29-3-白_B11</t>
        </is>
      </c>
      <c r="L124" s="147" t="n"/>
      <c r="M124" s="147" t="n"/>
      <c r="N124" s="147" t="n">
        <v>19.55</v>
      </c>
      <c r="O124" s="147" t="inlineStr">
        <is>
          <t>Illumina Truseq文库</t>
        </is>
      </c>
      <c r="P124" s="147" t="inlineStr">
        <is>
          <t>未磷酸化</t>
        </is>
      </c>
      <c r="Q124" s="147" t="inlineStr">
        <is>
          <t>未环化</t>
        </is>
      </c>
      <c r="R124" s="147" t="inlineStr">
        <is>
          <t>A</t>
        </is>
      </c>
      <c r="S124" s="147" t="n"/>
    </row>
    <row r="125" ht="30" customHeight="1" s="76">
      <c r="A125" s="152" t="n"/>
      <c r="B125" s="144" t="inlineStr">
        <is>
          <t>HGC-Lib-26098191</t>
        </is>
      </c>
      <c r="C125" s="144" t="n">
        <v>24.53</v>
      </c>
      <c r="D125" s="145" t="n">
        <v>5</v>
      </c>
      <c r="E125" s="146">
        <f>ROUND(D125/SUM(D10:D202)*IF(C125="",50,50.0),3)</f>
        <v/>
      </c>
      <c r="F125" s="146">
        <f>ROUND(E125/C125*G203,3)</f>
        <v/>
      </c>
      <c r="G125" s="144" t="inlineStr">
        <is>
          <t>有参转录组（RNA-seq）</t>
        </is>
      </c>
      <c r="H125" s="144" t="inlineStr">
        <is>
          <t>广州奥智生物科技有限公司</t>
        </is>
      </c>
      <c r="I125" s="146" t="n"/>
      <c r="J125" s="144" t="n"/>
      <c r="K125" s="154" t="inlineStr">
        <is>
          <t>26.7.29-3-白_B12</t>
        </is>
      </c>
      <c r="L125" s="147" t="n"/>
      <c r="M125" s="147" t="n"/>
      <c r="N125" s="147" t="n">
        <v>24.53</v>
      </c>
      <c r="O125" s="147" t="inlineStr">
        <is>
          <t>Illumina Truseq文库</t>
        </is>
      </c>
      <c r="P125" s="147" t="inlineStr">
        <is>
          <t>未磷酸化</t>
        </is>
      </c>
      <c r="Q125" s="147" t="inlineStr">
        <is>
          <t>未环化</t>
        </is>
      </c>
      <c r="R125" s="147" t="inlineStr">
        <is>
          <t>A</t>
        </is>
      </c>
      <c r="S125" s="147" t="n"/>
    </row>
    <row r="126" ht="30" customHeight="1" s="76">
      <c r="A126" s="152" t="n"/>
      <c r="B126" s="144" t="inlineStr">
        <is>
          <t>HGC-Lib-26098192</t>
        </is>
      </c>
      <c r="C126" s="144" t="n">
        <v>21.28</v>
      </c>
      <c r="D126" s="145" t="n">
        <v>5</v>
      </c>
      <c r="E126" s="146">
        <f>ROUND(D126/SUM(D10:D202)*IF(C126="",50,50.0),3)</f>
        <v/>
      </c>
      <c r="F126" s="146">
        <f>ROUND(E126/C126*G203,3)</f>
        <v/>
      </c>
      <c r="G126" s="144" t="inlineStr">
        <is>
          <t>有参转录组（RNA-seq）</t>
        </is>
      </c>
      <c r="H126" s="144" t="inlineStr">
        <is>
          <t>广州奥智生物科技有限公司</t>
        </is>
      </c>
      <c r="I126" s="146" t="n"/>
      <c r="J126" s="144" t="n"/>
      <c r="K126" s="154" t="inlineStr">
        <is>
          <t>26.7.29-3-白_E7</t>
        </is>
      </c>
      <c r="L126" s="147" t="n"/>
      <c r="M126" s="147" t="n"/>
      <c r="N126" s="147" t="n">
        <v>21.28</v>
      </c>
      <c r="O126" s="147" t="inlineStr">
        <is>
          <t>Illumina Truseq文库</t>
        </is>
      </c>
      <c r="P126" s="147" t="inlineStr">
        <is>
          <t>未磷酸化</t>
        </is>
      </c>
      <c r="Q126" s="147" t="inlineStr">
        <is>
          <t>未环化</t>
        </is>
      </c>
      <c r="R126" s="147" t="inlineStr">
        <is>
          <t>A</t>
        </is>
      </c>
      <c r="S126" s="147" t="n"/>
    </row>
    <row r="127" ht="30" customHeight="1" s="76">
      <c r="A127" s="152" t="n"/>
      <c r="B127" s="144" t="inlineStr">
        <is>
          <t>HGC-Lib-26098193</t>
        </is>
      </c>
      <c r="C127" s="144" t="n">
        <v>23.29</v>
      </c>
      <c r="D127" s="145" t="n">
        <v>5</v>
      </c>
      <c r="E127" s="146">
        <f>ROUND(D127/SUM(D10:D202)*IF(C127="",50,50.0),3)</f>
        <v/>
      </c>
      <c r="F127" s="146">
        <f>ROUND(E127/C127*G203,3)</f>
        <v/>
      </c>
      <c r="G127" s="144" t="inlineStr">
        <is>
          <t>有参转录组（RNA-seq）</t>
        </is>
      </c>
      <c r="H127" s="144" t="inlineStr">
        <is>
          <t>广州奥智生物科技有限公司</t>
        </is>
      </c>
      <c r="I127" s="146" t="n"/>
      <c r="J127" s="144" t="n"/>
      <c r="K127" s="154" t="inlineStr">
        <is>
          <t>26.7.29-3-白_E8</t>
        </is>
      </c>
      <c r="L127" s="147" t="n"/>
      <c r="M127" s="147" t="n"/>
      <c r="N127" s="147" t="n">
        <v>23.29</v>
      </c>
      <c r="O127" s="147" t="inlineStr">
        <is>
          <t>Illumina Truseq文库</t>
        </is>
      </c>
      <c r="P127" s="147" t="inlineStr">
        <is>
          <t>未磷酸化</t>
        </is>
      </c>
      <c r="Q127" s="147" t="inlineStr">
        <is>
          <t>未环化</t>
        </is>
      </c>
      <c r="R127" s="147" t="inlineStr">
        <is>
          <t>A</t>
        </is>
      </c>
      <c r="S127" s="147" t="n"/>
    </row>
    <row r="128" ht="30" customHeight="1" s="76">
      <c r="A128" s="152" t="n"/>
      <c r="B128" s="144" t="inlineStr">
        <is>
          <t>HGC-Lib-26098194</t>
        </is>
      </c>
      <c r="C128" s="144" t="n">
        <v>26.62</v>
      </c>
      <c r="D128" s="145" t="n">
        <v>5</v>
      </c>
      <c r="E128" s="146">
        <f>ROUND(D128/SUM(D10:D202)*IF(C128="",50,50.0),3)</f>
        <v/>
      </c>
      <c r="F128" s="146">
        <f>ROUND(E128/C128*G203,3)</f>
        <v/>
      </c>
      <c r="G128" s="144" t="inlineStr">
        <is>
          <t>有参转录组（RNA-seq）</t>
        </is>
      </c>
      <c r="H128" s="144" t="inlineStr">
        <is>
          <t>广州奥智生物科技有限公司</t>
        </is>
      </c>
      <c r="I128" s="146" t="n"/>
      <c r="J128" s="144" t="n"/>
      <c r="K128" s="154" t="inlineStr">
        <is>
          <t>26.7.29-3-白_E9</t>
        </is>
      </c>
      <c r="L128" s="147" t="n"/>
      <c r="M128" s="147" t="n"/>
      <c r="N128" s="147" t="n">
        <v>26.62</v>
      </c>
      <c r="O128" s="147" t="inlineStr">
        <is>
          <t>Illumina Truseq文库</t>
        </is>
      </c>
      <c r="P128" s="147" t="inlineStr">
        <is>
          <t>未磷酸化</t>
        </is>
      </c>
      <c r="Q128" s="147" t="inlineStr">
        <is>
          <t>未环化</t>
        </is>
      </c>
      <c r="R128" s="147" t="inlineStr">
        <is>
          <t>A</t>
        </is>
      </c>
      <c r="S128" s="147" t="n"/>
    </row>
    <row r="129" ht="30" customHeight="1" s="76">
      <c r="A129" s="152" t="n"/>
      <c r="B129" s="144" t="inlineStr">
        <is>
          <t>HGC-Lib-26098195</t>
        </is>
      </c>
      <c r="C129" s="144" t="n">
        <v>23.94</v>
      </c>
      <c r="D129" s="145" t="n">
        <v>5</v>
      </c>
      <c r="E129" s="146">
        <f>ROUND(D129/SUM(D10:D202)*IF(C129="",50,50.0),3)</f>
        <v/>
      </c>
      <c r="F129" s="146">
        <f>ROUND(E129/C129*G203,3)</f>
        <v/>
      </c>
      <c r="G129" s="144" t="inlineStr">
        <is>
          <t>有参转录组（RNA-seq）</t>
        </is>
      </c>
      <c r="H129" s="144" t="inlineStr">
        <is>
          <t>广州奥智生物科技有限公司</t>
        </is>
      </c>
      <c r="I129" s="146" t="n"/>
      <c r="J129" s="144" t="n"/>
      <c r="K129" s="154" t="inlineStr">
        <is>
          <t>26.7.29-3-白_E10</t>
        </is>
      </c>
      <c r="L129" s="147" t="n"/>
      <c r="M129" s="147" t="n"/>
      <c r="N129" s="147" t="n">
        <v>23.94</v>
      </c>
      <c r="O129" s="147" t="inlineStr">
        <is>
          <t>Illumina Truseq文库</t>
        </is>
      </c>
      <c r="P129" s="147" t="inlineStr">
        <is>
          <t>未磷酸化</t>
        </is>
      </c>
      <c r="Q129" s="147" t="inlineStr">
        <is>
          <t>未环化</t>
        </is>
      </c>
      <c r="R129" s="147" t="inlineStr">
        <is>
          <t>A</t>
        </is>
      </c>
      <c r="S129" s="147" t="n"/>
    </row>
    <row r="130" ht="30" customHeight="1" s="76">
      <c r="A130" s="152" t="n"/>
      <c r="B130" s="144" t="inlineStr">
        <is>
          <t>HGC-Lib-26098196</t>
        </is>
      </c>
      <c r="C130" s="144" t="n">
        <v>43.67</v>
      </c>
      <c r="D130" s="145" t="n">
        <v>5</v>
      </c>
      <c r="E130" s="146">
        <f>ROUND(D130/SUM(D10:D202)*IF(C130="",50,50.0),3)</f>
        <v/>
      </c>
      <c r="F130" s="146">
        <f>ROUND(E130/C130*G203,3)</f>
        <v/>
      </c>
      <c r="G130" s="144" t="inlineStr">
        <is>
          <t>有参转录组（RNA-seq）</t>
        </is>
      </c>
      <c r="H130" s="144" t="inlineStr">
        <is>
          <t>广州奥智生物科技有限公司</t>
        </is>
      </c>
      <c r="I130" s="146" t="n"/>
      <c r="J130" s="144" t="n"/>
      <c r="K130" s="154" t="inlineStr">
        <is>
          <t>26.7.29-3-白_E11</t>
        </is>
      </c>
      <c r="L130" s="147" t="n"/>
      <c r="M130" s="147" t="n"/>
      <c r="N130" s="147" t="n">
        <v>43.67</v>
      </c>
      <c r="O130" s="147" t="inlineStr">
        <is>
          <t>Illumina Truseq文库</t>
        </is>
      </c>
      <c r="P130" s="147" t="inlineStr">
        <is>
          <t>未磷酸化</t>
        </is>
      </c>
      <c r="Q130" s="147" t="inlineStr">
        <is>
          <t>未环化</t>
        </is>
      </c>
      <c r="R130" s="147" t="inlineStr">
        <is>
          <t>A</t>
        </is>
      </c>
      <c r="S130" s="147" t="n"/>
    </row>
    <row r="131" ht="30" customHeight="1" s="76">
      <c r="A131" s="152" t="n"/>
      <c r="B131" s="144" t="inlineStr">
        <is>
          <t>HGC-Lib-26098197</t>
        </is>
      </c>
      <c r="C131" s="144" t="n">
        <v>32.8</v>
      </c>
      <c r="D131" s="145" t="n">
        <v>5</v>
      </c>
      <c r="E131" s="146">
        <f>ROUND(D131/SUM(D10:D202)*IF(C131="",50,50.0),3)</f>
        <v/>
      </c>
      <c r="F131" s="146">
        <f>ROUND(E131/C131*G203,3)</f>
        <v/>
      </c>
      <c r="G131" s="144" t="inlineStr">
        <is>
          <t>有参转录组（RNA-seq）</t>
        </is>
      </c>
      <c r="H131" s="144" t="inlineStr">
        <is>
          <t>广州奥智生物科技有限公司</t>
        </is>
      </c>
      <c r="I131" s="146" t="n"/>
      <c r="J131" s="144" t="n"/>
      <c r="K131" s="154" t="inlineStr">
        <is>
          <t>26.7.29-3-白_E12</t>
        </is>
      </c>
      <c r="L131" s="147" t="n"/>
      <c r="M131" s="147" t="n"/>
      <c r="N131" s="147" t="n">
        <v>32.8</v>
      </c>
      <c r="O131" s="147" t="inlineStr">
        <is>
          <t>Illumina Truseq文库</t>
        </is>
      </c>
      <c r="P131" s="147" t="inlineStr">
        <is>
          <t>未磷酸化</t>
        </is>
      </c>
      <c r="Q131" s="147" t="inlineStr">
        <is>
          <t>未环化</t>
        </is>
      </c>
      <c r="R131" s="147" t="inlineStr">
        <is>
          <t>A</t>
        </is>
      </c>
      <c r="S131" s="147" t="n"/>
    </row>
    <row r="132" ht="30" customHeight="1" s="76">
      <c r="A132" s="152" t="n"/>
      <c r="B132" s="144" t="inlineStr">
        <is>
          <t>HGC-Lib-26098198</t>
        </is>
      </c>
      <c r="C132" s="144" t="n">
        <v>20.4</v>
      </c>
      <c r="D132" s="145" t="n">
        <v>5</v>
      </c>
      <c r="E132" s="146">
        <f>ROUND(D132/SUM(D10:D202)*IF(C132="",50,50.0),3)</f>
        <v/>
      </c>
      <c r="F132" s="146">
        <f>ROUND(E132/C132*G203,3)</f>
        <v/>
      </c>
      <c r="G132" s="144" t="inlineStr">
        <is>
          <t>有参转录组（RNA-seq）</t>
        </is>
      </c>
      <c r="H132" s="144" t="inlineStr">
        <is>
          <t>广州奥智生物科技有限公司</t>
        </is>
      </c>
      <c r="I132" s="146" t="n"/>
      <c r="J132" s="144" t="n"/>
      <c r="K132" s="154" t="inlineStr">
        <is>
          <t>26.7.29-3-白_F1</t>
        </is>
      </c>
      <c r="L132" s="147" t="n"/>
      <c r="M132" s="147" t="n"/>
      <c r="N132" s="147" t="n">
        <v>20.4</v>
      </c>
      <c r="O132" s="147" t="inlineStr">
        <is>
          <t>Illumina Truseq文库</t>
        </is>
      </c>
      <c r="P132" s="147" t="inlineStr">
        <is>
          <t>未磷酸化</t>
        </is>
      </c>
      <c r="Q132" s="147" t="inlineStr">
        <is>
          <t>未环化</t>
        </is>
      </c>
      <c r="R132" s="147" t="inlineStr">
        <is>
          <t>A</t>
        </is>
      </c>
      <c r="S132" s="147" t="n"/>
    </row>
    <row r="133" ht="30" customHeight="1" s="76">
      <c r="A133" s="152" t="n"/>
      <c r="B133" s="144" t="inlineStr">
        <is>
          <t>HGC-Lib-26098199</t>
        </is>
      </c>
      <c r="C133" s="144" t="n">
        <v>17.64</v>
      </c>
      <c r="D133" s="145" t="n">
        <v>5</v>
      </c>
      <c r="E133" s="146">
        <f>ROUND(D133/SUM(D10:D202)*IF(C133="",50,50.0),3)</f>
        <v/>
      </c>
      <c r="F133" s="146">
        <f>ROUND(E133/C133*G203,3)</f>
        <v/>
      </c>
      <c r="G133" s="144" t="inlineStr">
        <is>
          <t>有参转录组（RNA-seq）</t>
        </is>
      </c>
      <c r="H133" s="144" t="inlineStr">
        <is>
          <t>广州奥智生物科技有限公司</t>
        </is>
      </c>
      <c r="I133" s="146" t="n"/>
      <c r="J133" s="144" t="n"/>
      <c r="K133" s="154" t="inlineStr">
        <is>
          <t>26.7.29-3-白_F2</t>
        </is>
      </c>
      <c r="L133" s="147" t="n"/>
      <c r="M133" s="147" t="n"/>
      <c r="N133" s="147" t="n">
        <v>17.64</v>
      </c>
      <c r="O133" s="147" t="inlineStr">
        <is>
          <t>Illumina Truseq文库</t>
        </is>
      </c>
      <c r="P133" s="147" t="inlineStr">
        <is>
          <t>未磷酸化</t>
        </is>
      </c>
      <c r="Q133" s="147" t="inlineStr">
        <is>
          <t>未环化</t>
        </is>
      </c>
      <c r="R133" s="147" t="inlineStr">
        <is>
          <t>A</t>
        </is>
      </c>
      <c r="S133" s="147" t="n"/>
    </row>
    <row r="134" ht="30" customHeight="1" s="76">
      <c r="A134" s="152" t="n"/>
      <c r="B134" s="144" t="inlineStr">
        <is>
          <t>HGC-Lib-26098200</t>
        </is>
      </c>
      <c r="C134" s="144" t="n">
        <v>33.25</v>
      </c>
      <c r="D134" s="145" t="n">
        <v>5</v>
      </c>
      <c r="E134" s="146">
        <f>ROUND(D134/SUM(D10:D202)*IF(C134="",50,50.0),3)</f>
        <v/>
      </c>
      <c r="F134" s="146">
        <f>ROUND(E134/C134*G203,3)</f>
        <v/>
      </c>
      <c r="G134" s="144" t="inlineStr">
        <is>
          <t>有参转录组（RNA-seq）</t>
        </is>
      </c>
      <c r="H134" s="144" t="inlineStr">
        <is>
          <t>广州奥智生物科技有限公司</t>
        </is>
      </c>
      <c r="I134" s="146" t="n"/>
      <c r="J134" s="144" t="n"/>
      <c r="K134" s="154" t="inlineStr">
        <is>
          <t>26.7.29-3-白_F3</t>
        </is>
      </c>
      <c r="L134" s="147" t="n"/>
      <c r="M134" s="147" t="n"/>
      <c r="N134" s="147" t="n">
        <v>33.25</v>
      </c>
      <c r="O134" s="147" t="inlineStr">
        <is>
          <t>Illumina Truseq文库</t>
        </is>
      </c>
      <c r="P134" s="147" t="inlineStr">
        <is>
          <t>未磷酸化</t>
        </is>
      </c>
      <c r="Q134" s="147" t="inlineStr">
        <is>
          <t>未环化</t>
        </is>
      </c>
      <c r="R134" s="147" t="inlineStr">
        <is>
          <t>A</t>
        </is>
      </c>
      <c r="S134" s="147" t="n"/>
    </row>
    <row r="135" ht="30" customHeight="1" s="76">
      <c r="A135" s="152" t="n"/>
      <c r="B135" s="144" t="inlineStr">
        <is>
          <t>HGC-Lib-26098201</t>
        </is>
      </c>
      <c r="C135" s="144" t="n">
        <v>32.63</v>
      </c>
      <c r="D135" s="145" t="n">
        <v>5</v>
      </c>
      <c r="E135" s="146">
        <f>ROUND(D135/SUM(D10:D202)*IF(C135="",50,50.0),3)</f>
        <v/>
      </c>
      <c r="F135" s="146">
        <f>ROUND(E135/C135*G203,3)</f>
        <v/>
      </c>
      <c r="G135" s="144" t="inlineStr">
        <is>
          <t>有参转录组（RNA-seq）</t>
        </is>
      </c>
      <c r="H135" s="144" t="inlineStr">
        <is>
          <t>广州奥智生物科技有限公司</t>
        </is>
      </c>
      <c r="I135" s="146" t="n"/>
      <c r="J135" s="144" t="n"/>
      <c r="K135" s="154" t="inlineStr">
        <is>
          <t>26.7.29-3-白_F4</t>
        </is>
      </c>
      <c r="L135" s="147" t="n"/>
      <c r="M135" s="147" t="n"/>
      <c r="N135" s="147" t="n">
        <v>32.63</v>
      </c>
      <c r="O135" s="147" t="inlineStr">
        <is>
          <t>Illumina Truseq文库</t>
        </is>
      </c>
      <c r="P135" s="147" t="inlineStr">
        <is>
          <t>未磷酸化</t>
        </is>
      </c>
      <c r="Q135" s="147" t="inlineStr">
        <is>
          <t>未环化</t>
        </is>
      </c>
      <c r="R135" s="147" t="inlineStr">
        <is>
          <t>A</t>
        </is>
      </c>
      <c r="S135" s="147" t="n"/>
    </row>
    <row r="136" ht="30" customHeight="1" s="76">
      <c r="A136" s="152" t="n"/>
      <c r="B136" s="144" t="inlineStr">
        <is>
          <t>HGC-Lib-26098202</t>
        </is>
      </c>
      <c r="C136" s="144" t="n">
        <v>24.81</v>
      </c>
      <c r="D136" s="145" t="n">
        <v>5</v>
      </c>
      <c r="E136" s="146">
        <f>ROUND(D136/SUM(D10:D202)*IF(C136="",50,50.0),3)</f>
        <v/>
      </c>
      <c r="F136" s="146">
        <f>ROUND(E136/C136*G203,3)</f>
        <v/>
      </c>
      <c r="G136" s="144" t="inlineStr">
        <is>
          <t>有参转录组（RNA-seq）</t>
        </is>
      </c>
      <c r="H136" s="144" t="inlineStr">
        <is>
          <t>广州奥智生物科技有限公司</t>
        </is>
      </c>
      <c r="I136" s="146" t="n"/>
      <c r="J136" s="144" t="n"/>
      <c r="K136" s="154" t="inlineStr">
        <is>
          <t>26.7.29-3-白_F5</t>
        </is>
      </c>
      <c r="L136" s="147" t="n"/>
      <c r="M136" s="147" t="n"/>
      <c r="N136" s="147" t="n">
        <v>24.81</v>
      </c>
      <c r="O136" s="147" t="inlineStr">
        <is>
          <t>Illumina Truseq文库</t>
        </is>
      </c>
      <c r="P136" s="147" t="inlineStr">
        <is>
          <t>未磷酸化</t>
        </is>
      </c>
      <c r="Q136" s="147" t="inlineStr">
        <is>
          <t>未环化</t>
        </is>
      </c>
      <c r="R136" s="147" t="inlineStr">
        <is>
          <t>A</t>
        </is>
      </c>
      <c r="S136" s="147" t="n"/>
    </row>
    <row r="137" ht="30" customHeight="1" s="76">
      <c r="A137" s="152" t="n"/>
      <c r="B137" s="144" t="inlineStr">
        <is>
          <t>HGC-Lib-26098203</t>
        </is>
      </c>
      <c r="C137" s="144" t="n">
        <v>22.26</v>
      </c>
      <c r="D137" s="145" t="n">
        <v>5</v>
      </c>
      <c r="E137" s="146">
        <f>ROUND(D137/SUM(D10:D202)*IF(C137="",50,50.0),3)</f>
        <v/>
      </c>
      <c r="F137" s="146">
        <f>ROUND(E137/C137*G203,3)</f>
        <v/>
      </c>
      <c r="G137" s="144" t="inlineStr">
        <is>
          <t>有参转录组（RNA-seq）</t>
        </is>
      </c>
      <c r="H137" s="144" t="inlineStr">
        <is>
          <t>广州奥智生物科技有限公司</t>
        </is>
      </c>
      <c r="I137" s="146" t="n"/>
      <c r="J137" s="144" t="n"/>
      <c r="K137" s="154" t="inlineStr">
        <is>
          <t>26.7.29-3-白_F6</t>
        </is>
      </c>
      <c r="L137" s="147" t="n"/>
      <c r="M137" s="147" t="n"/>
      <c r="N137" s="147" t="n">
        <v>22.26</v>
      </c>
      <c r="O137" s="147" t="inlineStr">
        <is>
          <t>Illumina Truseq文库</t>
        </is>
      </c>
      <c r="P137" s="147" t="inlineStr">
        <is>
          <t>未磷酸化</t>
        </is>
      </c>
      <c r="Q137" s="147" t="inlineStr">
        <is>
          <t>未环化</t>
        </is>
      </c>
      <c r="R137" s="147" t="inlineStr">
        <is>
          <t>A</t>
        </is>
      </c>
      <c r="S137" s="147" t="n"/>
    </row>
    <row r="138" ht="30" customHeight="1" s="76">
      <c r="A138" s="152" t="n"/>
      <c r="B138" s="144" t="inlineStr">
        <is>
          <t>HGC-Lib-26098204</t>
        </is>
      </c>
      <c r="C138" s="144" t="n">
        <v>30.76</v>
      </c>
      <c r="D138" s="145" t="n">
        <v>5</v>
      </c>
      <c r="E138" s="146">
        <f>ROUND(D138/SUM(D10:D202)*IF(C138="",50,50.0),3)</f>
        <v/>
      </c>
      <c r="F138" s="146">
        <f>ROUND(E138/C138*G203,3)</f>
        <v/>
      </c>
      <c r="G138" s="144" t="inlineStr">
        <is>
          <t>有参转录组（RNA-seq）</t>
        </is>
      </c>
      <c r="H138" s="144" t="inlineStr">
        <is>
          <t>广州奥智生物科技有限公司</t>
        </is>
      </c>
      <c r="I138" s="146" t="n"/>
      <c r="J138" s="144" t="n"/>
      <c r="K138" s="154" t="inlineStr">
        <is>
          <t>26.7.29-3-白_F7</t>
        </is>
      </c>
      <c r="L138" s="147" t="n"/>
      <c r="M138" s="147" t="n"/>
      <c r="N138" s="147" t="n">
        <v>30.76</v>
      </c>
      <c r="O138" s="147" t="inlineStr">
        <is>
          <t>Illumina Truseq文库</t>
        </is>
      </c>
      <c r="P138" s="147" t="inlineStr">
        <is>
          <t>未磷酸化</t>
        </is>
      </c>
      <c r="Q138" s="147" t="inlineStr">
        <is>
          <t>未环化</t>
        </is>
      </c>
      <c r="R138" s="147" t="inlineStr">
        <is>
          <t>A</t>
        </is>
      </c>
      <c r="S138" s="147" t="n"/>
    </row>
    <row r="139" ht="30" customHeight="1" s="76">
      <c r="A139" s="152" t="n"/>
      <c r="B139" s="144" t="inlineStr">
        <is>
          <t>HGC-Lib-26098205</t>
        </is>
      </c>
      <c r="C139" s="144" t="n">
        <v>23.21</v>
      </c>
      <c r="D139" s="145" t="n">
        <v>5</v>
      </c>
      <c r="E139" s="146">
        <f>ROUND(D139/SUM(D10:D202)*IF(C139="",50,50.0),3)</f>
        <v/>
      </c>
      <c r="F139" s="146">
        <f>ROUND(E139/C139*G203,3)</f>
        <v/>
      </c>
      <c r="G139" s="144" t="inlineStr">
        <is>
          <t>有参转录组（RNA-seq）</t>
        </is>
      </c>
      <c r="H139" s="144" t="inlineStr">
        <is>
          <t>广州奥智生物科技有限公司</t>
        </is>
      </c>
      <c r="I139" s="146" t="n"/>
      <c r="J139" s="144" t="n"/>
      <c r="K139" s="154" t="inlineStr">
        <is>
          <t>26.7.29-3-白_F8</t>
        </is>
      </c>
      <c r="L139" s="147" t="n"/>
      <c r="M139" s="147" t="n"/>
      <c r="N139" s="147" t="n">
        <v>23.21</v>
      </c>
      <c r="O139" s="147" t="inlineStr">
        <is>
          <t>Illumina Truseq文库</t>
        </is>
      </c>
      <c r="P139" s="147" t="inlineStr">
        <is>
          <t>未磷酸化</t>
        </is>
      </c>
      <c r="Q139" s="147" t="inlineStr">
        <is>
          <t>未环化</t>
        </is>
      </c>
      <c r="R139" s="147" t="inlineStr">
        <is>
          <t>A</t>
        </is>
      </c>
      <c r="S139" s="147" t="n"/>
    </row>
    <row r="140" ht="30" customHeight="1" s="76">
      <c r="A140" s="152" t="n"/>
      <c r="B140" s="144" t="inlineStr">
        <is>
          <t>HGC-Lib-26098206</t>
        </is>
      </c>
      <c r="C140" s="144" t="n">
        <v>27.25</v>
      </c>
      <c r="D140" s="145" t="n">
        <v>5</v>
      </c>
      <c r="E140" s="146">
        <f>ROUND(D140/SUM(D10:D202)*IF(C140="",50,50.0),3)</f>
        <v/>
      </c>
      <c r="F140" s="146">
        <f>ROUND(E140/C140*G203,3)</f>
        <v/>
      </c>
      <c r="G140" s="144" t="inlineStr">
        <is>
          <t>有参转录组（RNA-seq）</t>
        </is>
      </c>
      <c r="H140" s="144" t="inlineStr">
        <is>
          <t>广州奥智生物科技有限公司</t>
        </is>
      </c>
      <c r="I140" s="146" t="n"/>
      <c r="J140" s="144" t="n"/>
      <c r="K140" s="154" t="inlineStr">
        <is>
          <t>26.7.29-3-白_F9</t>
        </is>
      </c>
      <c r="L140" s="147" t="n"/>
      <c r="M140" s="147" t="n"/>
      <c r="N140" s="147" t="n">
        <v>27.25</v>
      </c>
      <c r="O140" s="147" t="inlineStr">
        <is>
          <t>Illumina Truseq文库</t>
        </is>
      </c>
      <c r="P140" s="147" t="inlineStr">
        <is>
          <t>未磷酸化</t>
        </is>
      </c>
      <c r="Q140" s="147" t="inlineStr">
        <is>
          <t>未环化</t>
        </is>
      </c>
      <c r="R140" s="147" t="inlineStr">
        <is>
          <t>A</t>
        </is>
      </c>
      <c r="S140" s="147" t="n"/>
    </row>
    <row r="141" ht="30" customHeight="1" s="76">
      <c r="A141" s="152" t="n"/>
      <c r="B141" s="144" t="inlineStr">
        <is>
          <t>HGC-Lib-26098207</t>
        </is>
      </c>
      <c r="C141" s="144" t="n">
        <v>27.98</v>
      </c>
      <c r="D141" s="145" t="n">
        <v>5</v>
      </c>
      <c r="E141" s="146">
        <f>ROUND(D141/SUM(D10:D202)*IF(C141="",50,50.0),3)</f>
        <v/>
      </c>
      <c r="F141" s="146">
        <f>ROUND(E141/C141*G203,3)</f>
        <v/>
      </c>
      <c r="G141" s="144" t="inlineStr">
        <is>
          <t>有参转录组（RNA-seq）</t>
        </is>
      </c>
      <c r="H141" s="144" t="inlineStr">
        <is>
          <t>广州奥智生物科技有限公司</t>
        </is>
      </c>
      <c r="I141" s="146" t="n"/>
      <c r="J141" s="144" t="n"/>
      <c r="K141" s="154" t="inlineStr">
        <is>
          <t>26.7.29-3-白_F10</t>
        </is>
      </c>
      <c r="L141" s="147" t="n"/>
      <c r="M141" s="147" t="n"/>
      <c r="N141" s="147" t="n">
        <v>27.98</v>
      </c>
      <c r="O141" s="147" t="inlineStr">
        <is>
          <t>Illumina Truseq文库</t>
        </is>
      </c>
      <c r="P141" s="147" t="inlineStr">
        <is>
          <t>未磷酸化</t>
        </is>
      </c>
      <c r="Q141" s="147" t="inlineStr">
        <is>
          <t>未环化</t>
        </is>
      </c>
      <c r="R141" s="147" t="inlineStr">
        <is>
          <t>A</t>
        </is>
      </c>
      <c r="S141" s="147" t="n"/>
    </row>
    <row r="142" ht="30" customHeight="1" s="76">
      <c r="A142" s="152" t="n"/>
      <c r="B142" s="144" t="inlineStr">
        <is>
          <t>HGC-Lib-26098208</t>
        </is>
      </c>
      <c r="C142" s="144" t="n">
        <v>21.7</v>
      </c>
      <c r="D142" s="145" t="n">
        <v>5</v>
      </c>
      <c r="E142" s="146">
        <f>ROUND(D142/SUM(D10:D202)*IF(C142="",50,50.0),3)</f>
        <v/>
      </c>
      <c r="F142" s="146">
        <f>ROUND(E142/C142*G203,3)</f>
        <v/>
      </c>
      <c r="G142" s="144" t="inlineStr">
        <is>
          <t>有参转录组（RNA-seq）</t>
        </is>
      </c>
      <c r="H142" s="144" t="inlineStr">
        <is>
          <t>广州奥智生物科技有限公司</t>
        </is>
      </c>
      <c r="I142" s="146" t="n"/>
      <c r="J142" s="144" t="n"/>
      <c r="K142" s="154" t="inlineStr">
        <is>
          <t>26.7.29-3-白_F11</t>
        </is>
      </c>
      <c r="L142" s="147" t="n"/>
      <c r="M142" s="147" t="n"/>
      <c r="N142" s="147" t="n">
        <v>21.7</v>
      </c>
      <c r="O142" s="147" t="inlineStr">
        <is>
          <t>Illumina Truseq文库</t>
        </is>
      </c>
      <c r="P142" s="147" t="inlineStr">
        <is>
          <t>未磷酸化</t>
        </is>
      </c>
      <c r="Q142" s="147" t="inlineStr">
        <is>
          <t>未环化</t>
        </is>
      </c>
      <c r="R142" s="147" t="inlineStr">
        <is>
          <t>A</t>
        </is>
      </c>
      <c r="S142" s="147" t="n"/>
    </row>
    <row r="143" ht="30" customHeight="1" s="76">
      <c r="A143" s="152" t="n"/>
      <c r="B143" s="144" t="inlineStr">
        <is>
          <t>HGC-Lib-26098209</t>
        </is>
      </c>
      <c r="C143" s="144" t="n">
        <v>27.64</v>
      </c>
      <c r="D143" s="145" t="n">
        <v>5</v>
      </c>
      <c r="E143" s="146">
        <f>ROUND(D143/SUM(D10:D202)*IF(C143="",50,50.0),3)</f>
        <v/>
      </c>
      <c r="F143" s="146">
        <f>ROUND(E143/C143*G203,3)</f>
        <v/>
      </c>
      <c r="G143" s="144" t="inlineStr">
        <is>
          <t>有参转录组（RNA-seq）</t>
        </is>
      </c>
      <c r="H143" s="144" t="inlineStr">
        <is>
          <t>广州奥智生物科技有限公司</t>
        </is>
      </c>
      <c r="I143" s="146" t="n"/>
      <c r="J143" s="144" t="n"/>
      <c r="K143" s="154" t="inlineStr">
        <is>
          <t>26.7.29-3-白_F12</t>
        </is>
      </c>
      <c r="L143" s="147" t="n"/>
      <c r="M143" s="147" t="n"/>
      <c r="N143" s="147" t="n">
        <v>27.64</v>
      </c>
      <c r="O143" s="147" t="inlineStr">
        <is>
          <t>Illumina Truseq文库</t>
        </is>
      </c>
      <c r="P143" s="147" t="inlineStr">
        <is>
          <t>未磷酸化</t>
        </is>
      </c>
      <c r="Q143" s="147" t="inlineStr">
        <is>
          <t>未环化</t>
        </is>
      </c>
      <c r="R143" s="147" t="inlineStr">
        <is>
          <t>A</t>
        </is>
      </c>
      <c r="S143" s="147" t="n"/>
    </row>
    <row r="144" ht="30" customHeight="1" s="76">
      <c r="A144" s="152" t="n"/>
      <c r="B144" s="144" t="inlineStr">
        <is>
          <t>HGC-Lib-26098210</t>
        </is>
      </c>
      <c r="C144" s="144" t="n">
        <v>27.64</v>
      </c>
      <c r="D144" s="145" t="n">
        <v>5</v>
      </c>
      <c r="E144" s="146">
        <f>ROUND(D144/SUM(D10:D202)*IF(C144="",50,50.0),3)</f>
        <v/>
      </c>
      <c r="F144" s="146">
        <f>ROUND(E144/C144*G203,3)</f>
        <v/>
      </c>
      <c r="G144" s="144" t="inlineStr">
        <is>
          <t>有参转录组（RNA-seq）</t>
        </is>
      </c>
      <c r="H144" s="144" t="inlineStr">
        <is>
          <t>广州奥智生物科技有限公司</t>
        </is>
      </c>
      <c r="I144" s="146" t="n"/>
      <c r="J144" s="144" t="n"/>
      <c r="K144" s="154" t="inlineStr">
        <is>
          <t>26.7.29-3-白_G1</t>
        </is>
      </c>
      <c r="L144" s="147" t="n"/>
      <c r="M144" s="147" t="n"/>
      <c r="N144" s="147" t="n">
        <v>27.64</v>
      </c>
      <c r="O144" s="147" t="inlineStr">
        <is>
          <t>Illumina Truseq文库</t>
        </is>
      </c>
      <c r="P144" s="147" t="inlineStr">
        <is>
          <t>未磷酸化</t>
        </is>
      </c>
      <c r="Q144" s="147" t="inlineStr">
        <is>
          <t>未环化</t>
        </is>
      </c>
      <c r="R144" s="147" t="inlineStr">
        <is>
          <t>A</t>
        </is>
      </c>
      <c r="S144" s="147" t="n"/>
    </row>
    <row r="145" ht="30" customHeight="1" s="76">
      <c r="A145" s="152" t="n"/>
      <c r="B145" s="144" t="inlineStr">
        <is>
          <t>HGC-Lib-26098211</t>
        </is>
      </c>
      <c r="C145" s="144" t="n">
        <v>31.22</v>
      </c>
      <c r="D145" s="145" t="n">
        <v>5</v>
      </c>
      <c r="E145" s="146">
        <f>ROUND(D145/SUM(D10:D202)*IF(C145="",50,50.0),3)</f>
        <v/>
      </c>
      <c r="F145" s="146">
        <f>ROUND(E145/C145*G203,3)</f>
        <v/>
      </c>
      <c r="G145" s="144" t="inlineStr">
        <is>
          <t>有参转录组（RNA-seq）</t>
        </is>
      </c>
      <c r="H145" s="144" t="inlineStr">
        <is>
          <t>广州奥智生物科技有限公司</t>
        </is>
      </c>
      <c r="I145" s="146" t="n"/>
      <c r="J145" s="144" t="n"/>
      <c r="K145" s="154" t="inlineStr">
        <is>
          <t>26.7.29-3-白_G2</t>
        </is>
      </c>
      <c r="L145" s="147" t="n"/>
      <c r="M145" s="147" t="n"/>
      <c r="N145" s="147" t="n">
        <v>31.22</v>
      </c>
      <c r="O145" s="147" t="inlineStr">
        <is>
          <t>Illumina Truseq文库</t>
        </is>
      </c>
      <c r="P145" s="147" t="inlineStr">
        <is>
          <t>未磷酸化</t>
        </is>
      </c>
      <c r="Q145" s="147" t="inlineStr">
        <is>
          <t>未环化</t>
        </is>
      </c>
      <c r="R145" s="147" t="inlineStr">
        <is>
          <t>A</t>
        </is>
      </c>
      <c r="S145" s="147" t="n"/>
    </row>
    <row r="146" ht="30" customHeight="1" s="76">
      <c r="A146" s="152" t="n"/>
      <c r="B146" s="144" t="inlineStr">
        <is>
          <t>HGC-Lib-26098212</t>
        </is>
      </c>
      <c r="C146" s="144" t="n">
        <v>26.08</v>
      </c>
      <c r="D146" s="145" t="n">
        <v>5</v>
      </c>
      <c r="E146" s="146">
        <f>ROUND(D146/SUM(D10:D202)*IF(C146="",50,50.0),3)</f>
        <v/>
      </c>
      <c r="F146" s="146">
        <f>ROUND(E146/C146*G203,3)</f>
        <v/>
      </c>
      <c r="G146" s="144" t="inlineStr">
        <is>
          <t>有参转录组（RNA-seq）</t>
        </is>
      </c>
      <c r="H146" s="144" t="inlineStr">
        <is>
          <t>广州奥智生物科技有限公司</t>
        </is>
      </c>
      <c r="I146" s="146" t="n"/>
      <c r="J146" s="144" t="n"/>
      <c r="K146" s="154" t="inlineStr">
        <is>
          <t>26.7.29-3-白_G3</t>
        </is>
      </c>
      <c r="L146" s="147" t="n"/>
      <c r="M146" s="147" t="n"/>
      <c r="N146" s="147" t="n">
        <v>26.08</v>
      </c>
      <c r="O146" s="147" t="inlineStr">
        <is>
          <t>Illumina Truseq文库</t>
        </is>
      </c>
      <c r="P146" s="147" t="inlineStr">
        <is>
          <t>未磷酸化</t>
        </is>
      </c>
      <c r="Q146" s="147" t="inlineStr">
        <is>
          <t>未环化</t>
        </is>
      </c>
      <c r="R146" s="147" t="inlineStr">
        <is>
          <t>A</t>
        </is>
      </c>
      <c r="S146" s="147" t="n"/>
    </row>
    <row r="147" ht="30" customHeight="1" s="76">
      <c r="A147" s="152" t="n"/>
      <c r="B147" s="144" t="inlineStr">
        <is>
          <t>HGC-Lib-26098213</t>
        </is>
      </c>
      <c r="C147" s="144" t="n">
        <v>25.81</v>
      </c>
      <c r="D147" s="145" t="n">
        <v>5</v>
      </c>
      <c r="E147" s="146">
        <f>ROUND(D147/SUM(D10:D202)*IF(C147="",50,50.0),3)</f>
        <v/>
      </c>
      <c r="F147" s="146">
        <f>ROUND(E147/C147*G203,3)</f>
        <v/>
      </c>
      <c r="G147" s="144" t="inlineStr">
        <is>
          <t>有参转录组（RNA-seq）</t>
        </is>
      </c>
      <c r="H147" s="144" t="inlineStr">
        <is>
          <t>广州奥智生物科技有限公司</t>
        </is>
      </c>
      <c r="I147" s="146" t="n"/>
      <c r="J147" s="144" t="n"/>
      <c r="K147" s="154" t="inlineStr">
        <is>
          <t>26.7.29-3-白_G4</t>
        </is>
      </c>
      <c r="L147" s="147" t="n"/>
      <c r="M147" s="147" t="n"/>
      <c r="N147" s="147" t="n">
        <v>25.81</v>
      </c>
      <c r="O147" s="147" t="inlineStr">
        <is>
          <t>Illumina Truseq文库</t>
        </is>
      </c>
      <c r="P147" s="147" t="inlineStr">
        <is>
          <t>未磷酸化</t>
        </is>
      </c>
      <c r="Q147" s="147" t="inlineStr">
        <is>
          <t>未环化</t>
        </is>
      </c>
      <c r="R147" s="147" t="inlineStr">
        <is>
          <t>A</t>
        </is>
      </c>
      <c r="S147" s="147" t="n"/>
    </row>
    <row r="148" ht="30" customHeight="1" s="76">
      <c r="A148" s="152" t="n"/>
      <c r="B148" s="144" t="inlineStr">
        <is>
          <t>HGC-Lib-26098214</t>
        </is>
      </c>
      <c r="C148" s="144" t="n">
        <v>26.66</v>
      </c>
      <c r="D148" s="145" t="n">
        <v>5</v>
      </c>
      <c r="E148" s="146">
        <f>ROUND(D148/SUM(D10:D202)*IF(C148="",50,50.0),3)</f>
        <v/>
      </c>
      <c r="F148" s="146">
        <f>ROUND(E148/C148*G203,3)</f>
        <v/>
      </c>
      <c r="G148" s="144" t="inlineStr">
        <is>
          <t>有参转录组（RNA-seq）</t>
        </is>
      </c>
      <c r="H148" s="144" t="inlineStr">
        <is>
          <t>广州奥智生物科技有限公司</t>
        </is>
      </c>
      <c r="I148" s="146" t="n"/>
      <c r="J148" s="144" t="n"/>
      <c r="K148" s="154" t="inlineStr">
        <is>
          <t>26.7.29-3-白_G5</t>
        </is>
      </c>
      <c r="L148" s="147" t="n"/>
      <c r="M148" s="147" t="n"/>
      <c r="N148" s="147" t="n">
        <v>26.66</v>
      </c>
      <c r="O148" s="147" t="inlineStr">
        <is>
          <t>Illumina Truseq文库</t>
        </is>
      </c>
      <c r="P148" s="147" t="inlineStr">
        <is>
          <t>未磷酸化</t>
        </is>
      </c>
      <c r="Q148" s="147" t="inlineStr">
        <is>
          <t>未环化</t>
        </is>
      </c>
      <c r="R148" s="147" t="inlineStr">
        <is>
          <t>A</t>
        </is>
      </c>
      <c r="S148" s="147" t="n"/>
    </row>
    <row r="149" ht="30" customHeight="1" s="76">
      <c r="A149" s="152" t="n"/>
      <c r="B149" s="144" t="inlineStr">
        <is>
          <t>HGC-Lib-26098215</t>
        </is>
      </c>
      <c r="C149" s="144" t="n">
        <v>27.25</v>
      </c>
      <c r="D149" s="145" t="n">
        <v>5</v>
      </c>
      <c r="E149" s="146">
        <f>ROUND(D149/SUM(D10:D202)*IF(C149="",50,50.0),3)</f>
        <v/>
      </c>
      <c r="F149" s="146">
        <f>ROUND(E149/C149*G203,3)</f>
        <v/>
      </c>
      <c r="G149" s="144" t="inlineStr">
        <is>
          <t>有参转录组（RNA-seq）</t>
        </is>
      </c>
      <c r="H149" s="144" t="inlineStr">
        <is>
          <t>广州奥智生物科技有限公司</t>
        </is>
      </c>
      <c r="I149" s="146" t="n"/>
      <c r="J149" s="144" t="n"/>
      <c r="K149" s="154" t="inlineStr">
        <is>
          <t>26.7.29-3-白_G6</t>
        </is>
      </c>
      <c r="L149" s="147" t="n"/>
      <c r="M149" s="147" t="n"/>
      <c r="N149" s="147" t="n">
        <v>27.25</v>
      </c>
      <c r="O149" s="147" t="inlineStr">
        <is>
          <t>Illumina Truseq文库</t>
        </is>
      </c>
      <c r="P149" s="147" t="inlineStr">
        <is>
          <t>未磷酸化</t>
        </is>
      </c>
      <c r="Q149" s="147" t="inlineStr">
        <is>
          <t>未环化</t>
        </is>
      </c>
      <c r="R149" s="147" t="inlineStr">
        <is>
          <t>A</t>
        </is>
      </c>
      <c r="S149" s="147" t="n"/>
    </row>
    <row r="150" ht="30" customHeight="1" s="76">
      <c r="A150" s="152" t="n"/>
      <c r="B150" s="144" t="inlineStr">
        <is>
          <t>HGC-Lib-26098216</t>
        </is>
      </c>
      <c r="C150" s="144" t="n">
        <v>23.88</v>
      </c>
      <c r="D150" s="145" t="n">
        <v>5</v>
      </c>
      <c r="E150" s="146">
        <f>ROUND(D150/SUM(D10:D202)*IF(C150="",50,50.0),3)</f>
        <v/>
      </c>
      <c r="F150" s="146">
        <f>ROUND(E150/C150*G203,3)</f>
        <v/>
      </c>
      <c r="G150" s="144" t="inlineStr">
        <is>
          <t>有参转录组（RNA-seq）</t>
        </is>
      </c>
      <c r="H150" s="144" t="inlineStr">
        <is>
          <t>广州奥智生物科技有限公司</t>
        </is>
      </c>
      <c r="I150" s="146" t="n"/>
      <c r="J150" s="144" t="n"/>
      <c r="K150" s="154" t="inlineStr">
        <is>
          <t>26.7.29-3-白_G7</t>
        </is>
      </c>
      <c r="L150" s="147" t="n"/>
      <c r="M150" s="147" t="n"/>
      <c r="N150" s="147" t="n">
        <v>23.88</v>
      </c>
      <c r="O150" s="147" t="inlineStr">
        <is>
          <t>Illumina Truseq文库</t>
        </is>
      </c>
      <c r="P150" s="147" t="inlineStr">
        <is>
          <t>未磷酸化</t>
        </is>
      </c>
      <c r="Q150" s="147" t="inlineStr">
        <is>
          <t>未环化</t>
        </is>
      </c>
      <c r="R150" s="147" t="inlineStr">
        <is>
          <t>A</t>
        </is>
      </c>
      <c r="S150" s="147" t="n"/>
    </row>
    <row r="151" ht="30" customHeight="1" s="76">
      <c r="A151" s="152" t="n"/>
      <c r="B151" s="144" t="inlineStr">
        <is>
          <t>HGC-Lib-26098217</t>
        </is>
      </c>
      <c r="C151" s="144" t="n">
        <v>32.29</v>
      </c>
      <c r="D151" s="145" t="n">
        <v>5</v>
      </c>
      <c r="E151" s="146">
        <f>ROUND(D151/SUM(D10:D202)*IF(C151="",50,50.0),3)</f>
        <v/>
      </c>
      <c r="F151" s="146">
        <f>ROUND(E151/C151*G203,3)</f>
        <v/>
      </c>
      <c r="G151" s="144" t="inlineStr">
        <is>
          <t>有参转录组（RNA-seq）</t>
        </is>
      </c>
      <c r="H151" s="144" t="inlineStr">
        <is>
          <t>广州奥智生物科技有限公司</t>
        </is>
      </c>
      <c r="I151" s="146" t="n"/>
      <c r="J151" s="144" t="n"/>
      <c r="K151" s="154" t="inlineStr">
        <is>
          <t>26.7.29-3-白_G8</t>
        </is>
      </c>
      <c r="L151" s="147" t="n"/>
      <c r="M151" s="147" t="n"/>
      <c r="N151" s="147" t="n">
        <v>32.29</v>
      </c>
      <c r="O151" s="147" t="inlineStr">
        <is>
          <t>Illumina Truseq文库</t>
        </is>
      </c>
      <c r="P151" s="147" t="inlineStr">
        <is>
          <t>未磷酸化</t>
        </is>
      </c>
      <c r="Q151" s="147" t="inlineStr">
        <is>
          <t>未环化</t>
        </is>
      </c>
      <c r="R151" s="147" t="inlineStr">
        <is>
          <t>A</t>
        </is>
      </c>
      <c r="S151" s="147" t="n"/>
    </row>
    <row r="152" ht="30" customHeight="1" s="76">
      <c r="A152" s="152" t="n"/>
      <c r="B152" s="144" t="inlineStr">
        <is>
          <t>HGC-Lib-26098218</t>
        </is>
      </c>
      <c r="C152" s="144" t="n">
        <v>30.97</v>
      </c>
      <c r="D152" s="145" t="n">
        <v>5</v>
      </c>
      <c r="E152" s="146">
        <f>ROUND(D152/SUM(D10:D202)*IF(C152="",50,50.0),3)</f>
        <v/>
      </c>
      <c r="F152" s="146">
        <f>ROUND(E152/C152*G203,3)</f>
        <v/>
      </c>
      <c r="G152" s="144" t="inlineStr">
        <is>
          <t>有参转录组（RNA-seq）</t>
        </is>
      </c>
      <c r="H152" s="144" t="inlineStr">
        <is>
          <t>广州奥智生物科技有限公司</t>
        </is>
      </c>
      <c r="I152" s="146" t="n"/>
      <c r="J152" s="144" t="n"/>
      <c r="K152" s="154" t="inlineStr">
        <is>
          <t>26.7.29-3-白_G9</t>
        </is>
      </c>
      <c r="L152" s="147" t="n"/>
      <c r="M152" s="147" t="n"/>
      <c r="N152" s="147" t="n">
        <v>30.97</v>
      </c>
      <c r="O152" s="147" t="inlineStr">
        <is>
          <t>Illumina Truseq文库</t>
        </is>
      </c>
      <c r="P152" s="147" t="inlineStr">
        <is>
          <t>未磷酸化</t>
        </is>
      </c>
      <c r="Q152" s="147" t="inlineStr">
        <is>
          <t>未环化</t>
        </is>
      </c>
      <c r="R152" s="147" t="inlineStr">
        <is>
          <t>A</t>
        </is>
      </c>
      <c r="S152" s="147" t="n"/>
    </row>
    <row r="153" ht="30" customHeight="1" s="76">
      <c r="A153" s="152" t="n"/>
      <c r="B153" s="144" t="inlineStr">
        <is>
          <t>HGC-Lib-26098219</t>
        </is>
      </c>
      <c r="C153" s="144" t="n">
        <v>34.6</v>
      </c>
      <c r="D153" s="145" t="n">
        <v>5</v>
      </c>
      <c r="E153" s="146">
        <f>ROUND(D153/SUM(D10:D202)*IF(C153="",50,50.0),3)</f>
        <v/>
      </c>
      <c r="F153" s="146">
        <f>ROUND(E153/C153*G203,3)</f>
        <v/>
      </c>
      <c r="G153" s="144" t="inlineStr">
        <is>
          <t>有参转录组（RNA-seq）</t>
        </is>
      </c>
      <c r="H153" s="144" t="inlineStr">
        <is>
          <t>广州奥智生物科技有限公司</t>
        </is>
      </c>
      <c r="I153" s="146" t="n"/>
      <c r="J153" s="144" t="n"/>
      <c r="K153" s="154" t="inlineStr">
        <is>
          <t>26.7.29-3-白_G10</t>
        </is>
      </c>
      <c r="L153" s="147" t="n"/>
      <c r="M153" s="147" t="n"/>
      <c r="N153" s="147" t="n">
        <v>34.6</v>
      </c>
      <c r="O153" s="147" t="inlineStr">
        <is>
          <t>Illumina Truseq文库</t>
        </is>
      </c>
      <c r="P153" s="147" t="inlineStr">
        <is>
          <t>未磷酸化</t>
        </is>
      </c>
      <c r="Q153" s="147" t="inlineStr">
        <is>
          <t>未环化</t>
        </is>
      </c>
      <c r="R153" s="147" t="inlineStr">
        <is>
          <t>A</t>
        </is>
      </c>
      <c r="S153" s="147" t="n"/>
    </row>
    <row r="154" ht="30" customHeight="1" s="76">
      <c r="A154" s="152" t="n"/>
      <c r="B154" s="144" t="inlineStr">
        <is>
          <t>HGC-Lib-26098220</t>
        </is>
      </c>
      <c r="C154" s="144" t="n">
        <v>31.95</v>
      </c>
      <c r="D154" s="145" t="n">
        <v>5</v>
      </c>
      <c r="E154" s="146">
        <f>ROUND(D154/SUM(D10:D202)*IF(C154="",50,50.0),3)</f>
        <v/>
      </c>
      <c r="F154" s="146">
        <f>ROUND(E154/C154*G203,3)</f>
        <v/>
      </c>
      <c r="G154" s="144" t="inlineStr">
        <is>
          <t>有参转录组（RNA-seq）</t>
        </is>
      </c>
      <c r="H154" s="144" t="inlineStr">
        <is>
          <t>广州奥智生物科技有限公司</t>
        </is>
      </c>
      <c r="I154" s="146" t="n"/>
      <c r="J154" s="144" t="n"/>
      <c r="K154" s="154" t="inlineStr">
        <is>
          <t>26.7.29-3-白_G11</t>
        </is>
      </c>
      <c r="L154" s="147" t="n"/>
      <c r="M154" s="147" t="n"/>
      <c r="N154" s="147" t="n">
        <v>31.95</v>
      </c>
      <c r="O154" s="147" t="inlineStr">
        <is>
          <t>Illumina Truseq文库</t>
        </is>
      </c>
      <c r="P154" s="147" t="inlineStr">
        <is>
          <t>未磷酸化</t>
        </is>
      </c>
      <c r="Q154" s="147" t="inlineStr">
        <is>
          <t>未环化</t>
        </is>
      </c>
      <c r="R154" s="147" t="inlineStr">
        <is>
          <t>A</t>
        </is>
      </c>
      <c r="S154" s="147" t="n"/>
    </row>
    <row r="155" ht="30" customHeight="1" s="76">
      <c r="A155" s="152" t="n"/>
      <c r="B155" s="144" t="inlineStr">
        <is>
          <t>HGC-Lib-26098221</t>
        </is>
      </c>
      <c r="C155" s="144" t="n">
        <v>25.2</v>
      </c>
      <c r="D155" s="145" t="n">
        <v>5</v>
      </c>
      <c r="E155" s="146">
        <f>ROUND(D155/SUM(D10:D202)*IF(C155="",50,50.0),3)</f>
        <v/>
      </c>
      <c r="F155" s="146">
        <f>ROUND(E155/C155*G203,3)</f>
        <v/>
      </c>
      <c r="G155" s="144" t="inlineStr">
        <is>
          <t>有参转录组（RNA-seq）</t>
        </is>
      </c>
      <c r="H155" s="144" t="inlineStr">
        <is>
          <t>广州奥智生物科技有限公司</t>
        </is>
      </c>
      <c r="I155" s="146" t="n"/>
      <c r="J155" s="144" t="n"/>
      <c r="K155" s="154" t="inlineStr">
        <is>
          <t>26.7.29-3-白_G12</t>
        </is>
      </c>
      <c r="L155" s="147" t="n"/>
      <c r="M155" s="147" t="n"/>
      <c r="N155" s="147" t="n">
        <v>25.2</v>
      </c>
      <c r="O155" s="147" t="inlineStr">
        <is>
          <t>Illumina Truseq文库</t>
        </is>
      </c>
      <c r="P155" s="147" t="inlineStr">
        <is>
          <t>未磷酸化</t>
        </is>
      </c>
      <c r="Q155" s="147" t="inlineStr">
        <is>
          <t>未环化</t>
        </is>
      </c>
      <c r="R155" s="147" t="inlineStr">
        <is>
          <t>A</t>
        </is>
      </c>
      <c r="S155" s="147" t="n"/>
    </row>
    <row r="156" ht="30" customHeight="1" s="76">
      <c r="A156" s="152" t="n"/>
      <c r="B156" s="144" t="inlineStr">
        <is>
          <t>HGC-Lib-26098222</t>
        </is>
      </c>
      <c r="C156" s="144" t="n">
        <v>9.960000000000001</v>
      </c>
      <c r="D156" s="145" t="n">
        <v>5</v>
      </c>
      <c r="E156" s="146">
        <f>ROUND(D156/SUM(D10:D202)*IF(C156="",50,50.0),3)</f>
        <v/>
      </c>
      <c r="F156" s="146">
        <f>ROUND(E156/C156*G203,3)</f>
        <v/>
      </c>
      <c r="G156" s="144" t="inlineStr">
        <is>
          <t>有参转录组（RNA-seq）</t>
        </is>
      </c>
      <c r="H156" s="144" t="inlineStr">
        <is>
          <t>广州奥智生物科技有限公司</t>
        </is>
      </c>
      <c r="I156" s="146" t="n"/>
      <c r="J156" s="144" t="n"/>
      <c r="K156" s="154" t="inlineStr">
        <is>
          <t>26.7.29-3-白_H1</t>
        </is>
      </c>
      <c r="L156" s="147" t="n"/>
      <c r="M156" s="147" t="n"/>
      <c r="N156" s="147" t="n">
        <v>9.960000000000001</v>
      </c>
      <c r="O156" s="147" t="inlineStr">
        <is>
          <t>Illumina Truseq文库</t>
        </is>
      </c>
      <c r="P156" s="147" t="inlineStr">
        <is>
          <t>未磷酸化</t>
        </is>
      </c>
      <c r="Q156" s="147" t="inlineStr">
        <is>
          <t>未环化</t>
        </is>
      </c>
      <c r="R156" s="147" t="inlineStr">
        <is>
          <t>A</t>
        </is>
      </c>
      <c r="S156" s="147" t="n"/>
    </row>
    <row r="157" ht="30" customHeight="1" s="76">
      <c r="A157" s="152" t="n"/>
      <c r="B157" s="144" t="inlineStr">
        <is>
          <t>HGC-Lib-26098223</t>
        </is>
      </c>
      <c r="C157" s="144" t="n">
        <v>16.7</v>
      </c>
      <c r="D157" s="145" t="n">
        <v>5</v>
      </c>
      <c r="E157" s="146">
        <f>ROUND(D157/SUM(D10:D202)*IF(C157="",50,50.0),3)</f>
        <v/>
      </c>
      <c r="F157" s="146">
        <f>ROUND(E157/C157*G203,3)</f>
        <v/>
      </c>
      <c r="G157" s="144" t="inlineStr">
        <is>
          <t>有参转录组（RNA-seq）</t>
        </is>
      </c>
      <c r="H157" s="144" t="inlineStr">
        <is>
          <t>广州奥智生物科技有限公司</t>
        </is>
      </c>
      <c r="I157" s="146" t="n"/>
      <c r="J157" s="144" t="n"/>
      <c r="K157" s="154" t="inlineStr">
        <is>
          <t>26.7.29-3-白_H2</t>
        </is>
      </c>
      <c r="L157" s="147" t="n"/>
      <c r="M157" s="147" t="n"/>
      <c r="N157" s="147" t="n">
        <v>16.7</v>
      </c>
      <c r="O157" s="147" t="inlineStr">
        <is>
          <t>Illumina Truseq文库</t>
        </is>
      </c>
      <c r="P157" s="147" t="inlineStr">
        <is>
          <t>未磷酸化</t>
        </is>
      </c>
      <c r="Q157" s="147" t="inlineStr">
        <is>
          <t>未环化</t>
        </is>
      </c>
      <c r="R157" s="147" t="inlineStr">
        <is>
          <t>A</t>
        </is>
      </c>
      <c r="S157" s="147" t="n"/>
    </row>
    <row r="158" ht="30" customHeight="1" s="76">
      <c r="A158" s="152" t="n"/>
      <c r="B158" s="144" t="inlineStr">
        <is>
          <t>HGC-Lib-26098224</t>
        </is>
      </c>
      <c r="C158" s="144" t="n">
        <v>33.27</v>
      </c>
      <c r="D158" s="145" t="n">
        <v>5</v>
      </c>
      <c r="E158" s="146">
        <f>ROUND(D158/SUM(D10:D202)*IF(C158="",50,50.0),3)</f>
        <v/>
      </c>
      <c r="F158" s="146">
        <f>ROUND(E158/C158*G203,3)</f>
        <v/>
      </c>
      <c r="G158" s="144" t="inlineStr">
        <is>
          <t>有参转录组（RNA-seq）</t>
        </is>
      </c>
      <c r="H158" s="144" t="inlineStr">
        <is>
          <t>广州奥智生物科技有限公司</t>
        </is>
      </c>
      <c r="I158" s="146" t="n"/>
      <c r="J158" s="144" t="n"/>
      <c r="K158" s="154" t="inlineStr">
        <is>
          <t>26.7.29-3-白_H3</t>
        </is>
      </c>
      <c r="L158" s="147" t="n"/>
      <c r="M158" s="147" t="n"/>
      <c r="N158" s="147" t="n">
        <v>33.27</v>
      </c>
      <c r="O158" s="147" t="inlineStr">
        <is>
          <t>Illumina Truseq文库</t>
        </is>
      </c>
      <c r="P158" s="147" t="inlineStr">
        <is>
          <t>未磷酸化</t>
        </is>
      </c>
      <c r="Q158" s="147" t="inlineStr">
        <is>
          <t>未环化</t>
        </is>
      </c>
      <c r="R158" s="147" t="inlineStr">
        <is>
          <t>A</t>
        </is>
      </c>
      <c r="S158" s="147" t="n"/>
    </row>
    <row r="159" ht="30" customHeight="1" s="76">
      <c r="A159" s="152" t="n"/>
      <c r="B159" s="144" t="inlineStr">
        <is>
          <t>HGC-Lib-26098225</t>
        </is>
      </c>
      <c r="C159" s="144" t="n">
        <v>34.14</v>
      </c>
      <c r="D159" s="145" t="n">
        <v>5</v>
      </c>
      <c r="E159" s="146">
        <f>ROUND(D159/SUM(D10:D202)*IF(C159="",50,50.0),3)</f>
        <v/>
      </c>
      <c r="F159" s="146">
        <f>ROUND(E159/C159*G203,3)</f>
        <v/>
      </c>
      <c r="G159" s="144" t="inlineStr">
        <is>
          <t>有参转录组（RNA-seq）</t>
        </is>
      </c>
      <c r="H159" s="144" t="inlineStr">
        <is>
          <t>广州奥智生物科技有限公司</t>
        </is>
      </c>
      <c r="I159" s="146" t="n"/>
      <c r="J159" s="144" t="n"/>
      <c r="K159" s="144" t="inlineStr">
        <is>
          <t xml:space="preserve">26.7.29-3-夜_B7 </t>
        </is>
      </c>
      <c r="L159" s="147" t="n"/>
      <c r="M159" s="147" t="n"/>
      <c r="N159" s="147" t="n">
        <v>34.14</v>
      </c>
      <c r="O159" s="147" t="inlineStr">
        <is>
          <t>Illumina Truseq文库</t>
        </is>
      </c>
      <c r="P159" s="147" t="inlineStr">
        <is>
          <t>未磷酸化</t>
        </is>
      </c>
      <c r="Q159" s="147" t="inlineStr">
        <is>
          <t>未环化</t>
        </is>
      </c>
      <c r="R159" s="147" t="inlineStr">
        <is>
          <t>A</t>
        </is>
      </c>
      <c r="S159" s="147" t="n"/>
    </row>
    <row r="160" ht="30" customHeight="1" s="76">
      <c r="A160" s="152" t="n"/>
      <c r="B160" s="144" t="inlineStr">
        <is>
          <t>HGC-Lib-26098226</t>
        </is>
      </c>
      <c r="C160" s="144" t="n">
        <v>33.79</v>
      </c>
      <c r="D160" s="145" t="n">
        <v>5</v>
      </c>
      <c r="E160" s="146">
        <f>ROUND(D160/SUM(D10:D202)*IF(C160="",50,50.0),3)</f>
        <v/>
      </c>
      <c r="F160" s="146">
        <f>ROUND(E160/C160*G203,3)</f>
        <v/>
      </c>
      <c r="G160" s="144" t="inlineStr">
        <is>
          <t>有参转录组（RNA-seq）</t>
        </is>
      </c>
      <c r="H160" s="144" t="inlineStr">
        <is>
          <t>广州奥智生物科技有限公司</t>
        </is>
      </c>
      <c r="I160" s="146" t="n"/>
      <c r="J160" s="144" t="n"/>
      <c r="K160" s="144" t="inlineStr">
        <is>
          <t xml:space="preserve">26.7.29-3-夜_B8 </t>
        </is>
      </c>
      <c r="L160" s="147" t="n"/>
      <c r="M160" s="147" t="n"/>
      <c r="N160" s="147" t="n">
        <v>33.79</v>
      </c>
      <c r="O160" s="147" t="inlineStr">
        <is>
          <t>Illumina Truseq文库</t>
        </is>
      </c>
      <c r="P160" s="147" t="inlineStr">
        <is>
          <t>未磷酸化</t>
        </is>
      </c>
      <c r="Q160" s="147" t="inlineStr">
        <is>
          <t>未环化</t>
        </is>
      </c>
      <c r="R160" s="147" t="inlineStr">
        <is>
          <t>A</t>
        </is>
      </c>
      <c r="S160" s="147" t="n"/>
    </row>
    <row r="161" ht="30" customHeight="1" s="76">
      <c r="A161" s="152" t="n"/>
      <c r="B161" s="144" t="inlineStr">
        <is>
          <t>HGC-Lib-26098227</t>
        </is>
      </c>
      <c r="C161" s="144" t="n">
        <v>21.95</v>
      </c>
      <c r="D161" s="145" t="n">
        <v>5</v>
      </c>
      <c r="E161" s="146">
        <f>ROUND(D161/SUM(D10:D202)*IF(C161="",50,50.0),3)</f>
        <v/>
      </c>
      <c r="F161" s="146">
        <f>ROUND(E161/C161*G203,3)</f>
        <v/>
      </c>
      <c r="G161" s="144" t="inlineStr">
        <is>
          <t>有参转录组（RNA-seq）</t>
        </is>
      </c>
      <c r="H161" s="144" t="inlineStr">
        <is>
          <t>广州奥智生物科技有限公司</t>
        </is>
      </c>
      <c r="I161" s="146" t="n"/>
      <c r="J161" s="144" t="n"/>
      <c r="K161" s="144" t="inlineStr">
        <is>
          <t xml:space="preserve">26.7.29-3-夜_B9 </t>
        </is>
      </c>
      <c r="L161" s="147" t="n"/>
      <c r="M161" s="147" t="n"/>
      <c r="N161" s="147" t="n">
        <v>21.95</v>
      </c>
      <c r="O161" s="147" t="inlineStr">
        <is>
          <t>Illumina Truseq文库</t>
        </is>
      </c>
      <c r="P161" s="147" t="inlineStr">
        <is>
          <t>未磷酸化</t>
        </is>
      </c>
      <c r="Q161" s="147" t="inlineStr">
        <is>
          <t>未环化</t>
        </is>
      </c>
      <c r="R161" s="147" t="inlineStr">
        <is>
          <t>A</t>
        </is>
      </c>
      <c r="S161" s="147" t="n"/>
    </row>
    <row r="162" ht="30" customHeight="1" s="76">
      <c r="A162" s="152" t="n"/>
      <c r="B162" s="144" t="inlineStr">
        <is>
          <t>HGC-Lib-26098228</t>
        </is>
      </c>
      <c r="C162" s="144" t="n">
        <v>10.09</v>
      </c>
      <c r="D162" s="145" t="n">
        <v>5</v>
      </c>
      <c r="E162" s="146">
        <f>ROUND(D162/SUM(D10:D202)*IF(C162="",50,50.0),3)</f>
        <v/>
      </c>
      <c r="F162" s="146">
        <f>ROUND(E162/C162*G203,3)</f>
        <v/>
      </c>
      <c r="G162" s="144" t="inlineStr">
        <is>
          <t>有参转录组（RNA-seq）</t>
        </is>
      </c>
      <c r="H162" s="144" t="inlineStr">
        <is>
          <t>广州奥智生物科技有限公司</t>
        </is>
      </c>
      <c r="I162" s="146" t="n"/>
      <c r="J162" s="144" t="n"/>
      <c r="K162" s="144" t="inlineStr">
        <is>
          <t xml:space="preserve">26.7.29-3-夜_B10 </t>
        </is>
      </c>
      <c r="L162" s="147" t="n"/>
      <c r="M162" s="147" t="n"/>
      <c r="N162" s="147" t="n">
        <v>10.09</v>
      </c>
      <c r="O162" s="147" t="inlineStr">
        <is>
          <t>Illumina Truseq文库</t>
        </is>
      </c>
      <c r="P162" s="147" t="inlineStr">
        <is>
          <t>未磷酸化</t>
        </is>
      </c>
      <c r="Q162" s="147" t="inlineStr">
        <is>
          <t>未环化</t>
        </is>
      </c>
      <c r="R162" s="147" t="inlineStr">
        <is>
          <t>A</t>
        </is>
      </c>
      <c r="S162" s="147" t="n"/>
    </row>
    <row r="163" ht="30" customHeight="1" s="76">
      <c r="A163" s="152" t="n"/>
      <c r="B163" s="144" t="inlineStr">
        <is>
          <t>HGC-Lib-26098229</t>
        </is>
      </c>
      <c r="C163" s="144" t="n">
        <v>42.34</v>
      </c>
      <c r="D163" s="145" t="n">
        <v>5</v>
      </c>
      <c r="E163" s="146">
        <f>ROUND(D163/SUM(D10:D202)*IF(C163="",50,50.0),3)</f>
        <v/>
      </c>
      <c r="F163" s="146">
        <f>ROUND(E163/C163*G203,3)</f>
        <v/>
      </c>
      <c r="G163" s="144" t="inlineStr">
        <is>
          <t>有参转录组（RNA-seq）</t>
        </is>
      </c>
      <c r="H163" s="144" t="inlineStr">
        <is>
          <t>广州奥智生物科技有限公司</t>
        </is>
      </c>
      <c r="I163" s="146" t="n"/>
      <c r="J163" s="144" t="n"/>
      <c r="K163" s="144" t="inlineStr">
        <is>
          <t xml:space="preserve">26.7.29-3-夜_B11 </t>
        </is>
      </c>
      <c r="L163" s="147" t="n"/>
      <c r="M163" s="147" t="n"/>
      <c r="N163" s="147" t="n">
        <v>42.34</v>
      </c>
      <c r="O163" s="147" t="inlineStr">
        <is>
          <t>Illumina Truseq文库</t>
        </is>
      </c>
      <c r="P163" s="147" t="inlineStr">
        <is>
          <t>未磷酸化</t>
        </is>
      </c>
      <c r="Q163" s="147" t="inlineStr">
        <is>
          <t>未环化</t>
        </is>
      </c>
      <c r="R163" s="147" t="inlineStr">
        <is>
          <t>A</t>
        </is>
      </c>
      <c r="S163" s="147" t="n"/>
    </row>
    <row r="164" ht="30" customHeight="1" s="76">
      <c r="A164" s="152" t="n"/>
      <c r="B164" s="144" t="inlineStr">
        <is>
          <t>HGC-Lib-26098232</t>
        </is>
      </c>
      <c r="C164" s="144" t="n">
        <v>20.81</v>
      </c>
      <c r="D164" s="145" t="n">
        <v>5</v>
      </c>
      <c r="E164" s="146">
        <f>ROUND(D164/SUM(D10:D202)*IF(C164="",50,50.0),3)</f>
        <v/>
      </c>
      <c r="F164" s="146">
        <f>ROUND(E164/C164*G203,3)</f>
        <v/>
      </c>
      <c r="G164" s="144" t="inlineStr">
        <is>
          <t>有参转录组（RNA-seq）</t>
        </is>
      </c>
      <c r="H164" s="144" t="inlineStr">
        <is>
          <t>广州奥智生物科技有限公司</t>
        </is>
      </c>
      <c r="I164" s="146" t="n"/>
      <c r="J164" s="144" t="n"/>
      <c r="K164" s="144" t="inlineStr">
        <is>
          <t xml:space="preserve">26.7.29-3-夜_C2 </t>
        </is>
      </c>
      <c r="L164" s="147" t="n"/>
      <c r="M164" s="147" t="n"/>
      <c r="N164" s="147" t="n">
        <v>20.81</v>
      </c>
      <c r="O164" s="147" t="inlineStr">
        <is>
          <t>Illumina Truseq文库</t>
        </is>
      </c>
      <c r="P164" s="147" t="inlineStr">
        <is>
          <t>未磷酸化</t>
        </is>
      </c>
      <c r="Q164" s="147" t="inlineStr">
        <is>
          <t>未环化</t>
        </is>
      </c>
      <c r="R164" s="147" t="inlineStr">
        <is>
          <t>A</t>
        </is>
      </c>
      <c r="S164" s="147" t="n"/>
    </row>
    <row r="165" ht="30" customHeight="1" s="76">
      <c r="A165" s="152" t="n"/>
      <c r="B165" s="144" t="inlineStr">
        <is>
          <t>HGC-Lib-26098233</t>
        </is>
      </c>
      <c r="C165" s="144" t="n">
        <v>18.38</v>
      </c>
      <c r="D165" s="145" t="n">
        <v>5</v>
      </c>
      <c r="E165" s="146">
        <f>ROUND(D165/SUM(D10:D202)*IF(C165="",50,50.0),3)</f>
        <v/>
      </c>
      <c r="F165" s="146">
        <f>ROUND(E165/C165*G203,3)</f>
        <v/>
      </c>
      <c r="G165" s="144" t="inlineStr">
        <is>
          <t>有参转录组（RNA-seq）</t>
        </is>
      </c>
      <c r="H165" s="144" t="inlineStr">
        <is>
          <t>广州奥智生物科技有限公司</t>
        </is>
      </c>
      <c r="I165" s="146" t="n"/>
      <c r="J165" s="144" t="n"/>
      <c r="K165" s="144" t="inlineStr">
        <is>
          <t xml:space="preserve">26.7.29-3-夜_C3 </t>
        </is>
      </c>
      <c r="L165" s="147" t="n"/>
      <c r="M165" s="147" t="n"/>
      <c r="N165" s="147" t="n">
        <v>18.38</v>
      </c>
      <c r="O165" s="147" t="inlineStr">
        <is>
          <t>Illumina Truseq文库</t>
        </is>
      </c>
      <c r="P165" s="147" t="inlineStr">
        <is>
          <t>未磷酸化</t>
        </is>
      </c>
      <c r="Q165" s="147" t="inlineStr">
        <is>
          <t>未环化</t>
        </is>
      </c>
      <c r="R165" s="147" t="inlineStr">
        <is>
          <t>A</t>
        </is>
      </c>
      <c r="S165" s="147" t="n"/>
    </row>
    <row r="166" ht="30" customHeight="1" s="76">
      <c r="A166" s="152" t="n"/>
      <c r="B166" s="144" t="inlineStr">
        <is>
          <t>HGC-Lib-26098234</t>
        </is>
      </c>
      <c r="C166" s="144" t="n">
        <v>17.83</v>
      </c>
      <c r="D166" s="145" t="n">
        <v>5</v>
      </c>
      <c r="E166" s="146">
        <f>ROUND(D166/SUM(D10:D202)*IF(C166="",50,50.0),3)</f>
        <v/>
      </c>
      <c r="F166" s="146">
        <f>ROUND(E166/C166*G203,3)</f>
        <v/>
      </c>
      <c r="G166" s="144" t="inlineStr">
        <is>
          <t>有参转录组（RNA-seq）</t>
        </is>
      </c>
      <c r="H166" s="144" t="inlineStr">
        <is>
          <t>广州奥智生物科技有限公司</t>
        </is>
      </c>
      <c r="I166" s="146" t="n"/>
      <c r="J166" s="144" t="n"/>
      <c r="K166" s="144" t="inlineStr">
        <is>
          <t xml:space="preserve">26.7.29-3-夜_C4 </t>
        </is>
      </c>
      <c r="L166" s="147" t="n"/>
      <c r="M166" s="147" t="n"/>
      <c r="N166" s="147" t="n">
        <v>17.83</v>
      </c>
      <c r="O166" s="147" t="inlineStr">
        <is>
          <t>Illumina Truseq文库</t>
        </is>
      </c>
      <c r="P166" s="147" t="inlineStr">
        <is>
          <t>未磷酸化</t>
        </is>
      </c>
      <c r="Q166" s="147" t="inlineStr">
        <is>
          <t>未环化</t>
        </is>
      </c>
      <c r="R166" s="147" t="inlineStr">
        <is>
          <t>A</t>
        </is>
      </c>
      <c r="S166" s="147" t="n"/>
    </row>
    <row r="167" ht="30" customHeight="1" s="76">
      <c r="A167" s="152" t="n"/>
      <c r="B167" s="144" t="inlineStr">
        <is>
          <t>HGC-Lib-26098235</t>
        </is>
      </c>
      <c r="C167" s="144" t="n">
        <v>22.42</v>
      </c>
      <c r="D167" s="145" t="n">
        <v>5</v>
      </c>
      <c r="E167" s="146">
        <f>ROUND(D167/SUM(D10:D202)*IF(C167="",50,50.0),3)</f>
        <v/>
      </c>
      <c r="F167" s="146">
        <f>ROUND(E167/C167*G203,3)</f>
        <v/>
      </c>
      <c r="G167" s="144" t="inlineStr">
        <is>
          <t>有参转录组（RNA-seq）</t>
        </is>
      </c>
      <c r="H167" s="144" t="inlineStr">
        <is>
          <t>广州奥智生物科技有限公司</t>
        </is>
      </c>
      <c r="I167" s="146" t="n"/>
      <c r="J167" s="144" t="n"/>
      <c r="K167" s="144" t="inlineStr">
        <is>
          <t xml:space="preserve">26.7.29-3-夜_C5 </t>
        </is>
      </c>
      <c r="L167" s="147" t="n"/>
      <c r="M167" s="147" t="n"/>
      <c r="N167" s="147" t="n">
        <v>22.42</v>
      </c>
      <c r="O167" s="147" t="inlineStr">
        <is>
          <t>Illumina Truseq文库</t>
        </is>
      </c>
      <c r="P167" s="147" t="inlineStr">
        <is>
          <t>未磷酸化</t>
        </is>
      </c>
      <c r="Q167" s="147" t="inlineStr">
        <is>
          <t>未环化</t>
        </is>
      </c>
      <c r="R167" s="147" t="inlineStr">
        <is>
          <t>A</t>
        </is>
      </c>
      <c r="S167" s="147" t="n"/>
    </row>
    <row r="168" ht="30" customHeight="1" s="76">
      <c r="A168" s="152" t="n"/>
      <c r="B168" s="144" t="inlineStr">
        <is>
          <t>HGC-Lib-26098236</t>
        </is>
      </c>
      <c r="C168" s="144" t="n">
        <v>20.95</v>
      </c>
      <c r="D168" s="145" t="n">
        <v>5</v>
      </c>
      <c r="E168" s="146">
        <f>ROUND(D168/SUM(D10:D202)*IF(C168="",50,50.0),3)</f>
        <v/>
      </c>
      <c r="F168" s="146">
        <f>ROUND(E168/C168*G203,3)</f>
        <v/>
      </c>
      <c r="G168" s="144" t="inlineStr">
        <is>
          <t>有参转录组（RNA-seq）</t>
        </is>
      </c>
      <c r="H168" s="144" t="inlineStr">
        <is>
          <t>广州奥智生物科技有限公司</t>
        </is>
      </c>
      <c r="I168" s="146" t="n"/>
      <c r="J168" s="144" t="n"/>
      <c r="K168" s="144" t="inlineStr">
        <is>
          <t xml:space="preserve">26.7.29-3-夜_C6 </t>
        </is>
      </c>
      <c r="L168" s="147" t="n"/>
      <c r="M168" s="147" t="n"/>
      <c r="N168" s="147" t="n">
        <v>20.95</v>
      </c>
      <c r="O168" s="147" t="inlineStr">
        <is>
          <t>Illumina Truseq文库</t>
        </is>
      </c>
      <c r="P168" s="147" t="inlineStr">
        <is>
          <t>未磷酸化</t>
        </is>
      </c>
      <c r="Q168" s="147" t="inlineStr">
        <is>
          <t>未环化</t>
        </is>
      </c>
      <c r="R168" s="147" t="inlineStr">
        <is>
          <t>A</t>
        </is>
      </c>
      <c r="S168" s="147" t="n"/>
    </row>
    <row r="169" ht="30" customHeight="1" s="76">
      <c r="A169" s="152" t="n"/>
      <c r="B169" s="144" t="inlineStr">
        <is>
          <t>HGC-Lib-26098237</t>
        </is>
      </c>
      <c r="C169" s="144" t="n">
        <v>60.67</v>
      </c>
      <c r="D169" s="145" t="n">
        <v>5</v>
      </c>
      <c r="E169" s="146">
        <f>ROUND(D169/SUM(D10:D202)*IF(C169="",50,50.0),3)</f>
        <v/>
      </c>
      <c r="F169" s="146">
        <f>ROUND(E169/C169*G203,3)</f>
        <v/>
      </c>
      <c r="G169" s="144" t="inlineStr">
        <is>
          <t>有参转录组（RNA-seq）</t>
        </is>
      </c>
      <c r="H169" s="144" t="inlineStr">
        <is>
          <t>广州奥智生物科技有限公司</t>
        </is>
      </c>
      <c r="I169" s="146" t="n"/>
      <c r="J169" s="144" t="n"/>
      <c r="K169" s="144" t="inlineStr">
        <is>
          <t xml:space="preserve">26.7.29-3-夜_C7 </t>
        </is>
      </c>
      <c r="L169" s="147" t="n"/>
      <c r="M169" s="147" t="n"/>
      <c r="N169" s="147" t="n">
        <v>60.67</v>
      </c>
      <c r="O169" s="147" t="inlineStr">
        <is>
          <t>Illumina Truseq文库</t>
        </is>
      </c>
      <c r="P169" s="147" t="inlineStr">
        <is>
          <t>未磷酸化</t>
        </is>
      </c>
      <c r="Q169" s="147" t="inlineStr">
        <is>
          <t>未环化</t>
        </is>
      </c>
      <c r="R169" s="147" t="inlineStr">
        <is>
          <t>A</t>
        </is>
      </c>
      <c r="S169" s="147" t="n"/>
    </row>
    <row r="170" ht="30" customHeight="1" s="76">
      <c r="A170" s="152" t="n"/>
      <c r="B170" s="144" t="inlineStr">
        <is>
          <t>HGC-Lib-26098238</t>
        </is>
      </c>
      <c r="C170" s="144" t="n">
        <v>18.6</v>
      </c>
      <c r="D170" s="145" t="n">
        <v>5</v>
      </c>
      <c r="E170" s="146">
        <f>ROUND(D170/SUM(D10:D202)*IF(C170="",50,50.0),3)</f>
        <v/>
      </c>
      <c r="F170" s="146">
        <f>ROUND(E170/C170*G203,3)</f>
        <v/>
      </c>
      <c r="G170" s="144" t="inlineStr">
        <is>
          <t>有参转录组（RNA-seq）</t>
        </is>
      </c>
      <c r="H170" s="144" t="inlineStr">
        <is>
          <t>广州奥智生物科技有限公司</t>
        </is>
      </c>
      <c r="I170" s="146" t="n"/>
      <c r="J170" s="144" t="n"/>
      <c r="K170" s="144" t="inlineStr">
        <is>
          <t xml:space="preserve">26.7.29-3-夜_C8 </t>
        </is>
      </c>
      <c r="L170" s="147" t="n"/>
      <c r="M170" s="147" t="n"/>
      <c r="N170" s="147" t="n">
        <v>18.6</v>
      </c>
      <c r="O170" s="147" t="inlineStr">
        <is>
          <t>Illumina Truseq文库</t>
        </is>
      </c>
      <c r="P170" s="147" t="inlineStr">
        <is>
          <t>未磷酸化</t>
        </is>
      </c>
      <c r="Q170" s="147" t="inlineStr">
        <is>
          <t>未环化</t>
        </is>
      </c>
      <c r="R170" s="147" t="inlineStr">
        <is>
          <t>A</t>
        </is>
      </c>
      <c r="S170" s="147" t="n"/>
    </row>
    <row r="171" ht="30" customHeight="1" s="76">
      <c r="A171" s="152" t="n"/>
      <c r="B171" s="144" t="inlineStr">
        <is>
          <t>HGC-Lib-26098239</t>
        </is>
      </c>
      <c r="C171" s="144" t="n">
        <v>58.55</v>
      </c>
      <c r="D171" s="145" t="n">
        <v>5</v>
      </c>
      <c r="E171" s="146">
        <f>ROUND(D171/SUM(D10:D202)*IF(C171="",50,50.0),3)</f>
        <v/>
      </c>
      <c r="F171" s="146">
        <f>ROUND(E171/C171*G203,3)</f>
        <v/>
      </c>
      <c r="G171" s="144" t="inlineStr">
        <is>
          <t>有参转录组（RNA-seq）</t>
        </is>
      </c>
      <c r="H171" s="144" t="inlineStr">
        <is>
          <t>广州奥智生物科技有限公司</t>
        </is>
      </c>
      <c r="I171" s="146" t="n"/>
      <c r="J171" s="144" t="n"/>
      <c r="K171" s="144" t="inlineStr">
        <is>
          <t xml:space="preserve">26.7.29-3-夜_C9 </t>
        </is>
      </c>
      <c r="L171" s="147" t="n"/>
      <c r="M171" s="147" t="n"/>
      <c r="N171" s="147" t="n">
        <v>58.55</v>
      </c>
      <c r="O171" s="147" t="inlineStr">
        <is>
          <t>Illumina Truseq文库</t>
        </is>
      </c>
      <c r="P171" s="147" t="inlineStr">
        <is>
          <t>未磷酸化</t>
        </is>
      </c>
      <c r="Q171" s="147" t="inlineStr">
        <is>
          <t>未环化</t>
        </is>
      </c>
      <c r="R171" s="147" t="inlineStr">
        <is>
          <t>A</t>
        </is>
      </c>
      <c r="S171" s="147" t="n"/>
    </row>
    <row r="172" ht="30" customHeight="1" s="76">
      <c r="A172" s="152" t="n"/>
      <c r="B172" s="144" t="inlineStr">
        <is>
          <t>HGC-Lib-26098240</t>
        </is>
      </c>
      <c r="C172" s="144" t="n">
        <v>36.75</v>
      </c>
      <c r="D172" s="145" t="n">
        <v>5</v>
      </c>
      <c r="E172" s="146">
        <f>ROUND(D172/SUM(D10:D202)*IF(C172="",50,50.0),3)</f>
        <v/>
      </c>
      <c r="F172" s="146">
        <f>ROUND(E172/C172*G203,3)</f>
        <v/>
      </c>
      <c r="G172" s="144" t="inlineStr">
        <is>
          <t>有参转录组（RNA-seq）</t>
        </is>
      </c>
      <c r="H172" s="144" t="inlineStr">
        <is>
          <t>广州奥智生物科技有限公司</t>
        </is>
      </c>
      <c r="I172" s="146" t="n"/>
      <c r="J172" s="144" t="n"/>
      <c r="K172" s="144" t="inlineStr">
        <is>
          <t xml:space="preserve">26.7.29-3-夜_C10 </t>
        </is>
      </c>
      <c r="L172" s="147" t="n"/>
      <c r="M172" s="147" t="n"/>
      <c r="N172" s="147" t="n">
        <v>36.75</v>
      </c>
      <c r="O172" s="147" t="inlineStr">
        <is>
          <t>Illumina Truseq文库</t>
        </is>
      </c>
      <c r="P172" s="147" t="inlineStr">
        <is>
          <t>未磷酸化</t>
        </is>
      </c>
      <c r="Q172" s="147" t="inlineStr">
        <is>
          <t>未环化</t>
        </is>
      </c>
      <c r="R172" s="147" t="inlineStr">
        <is>
          <t>A</t>
        </is>
      </c>
      <c r="S172" s="147" t="n"/>
    </row>
    <row r="173" ht="30" customHeight="1" s="76">
      <c r="A173" s="152" t="n"/>
      <c r="B173" s="144" t="inlineStr">
        <is>
          <t>HGC-Lib-26098241</t>
        </is>
      </c>
      <c r="C173" s="144" t="n">
        <v>58.87</v>
      </c>
      <c r="D173" s="145" t="n">
        <v>5</v>
      </c>
      <c r="E173" s="146">
        <f>ROUND(D173/SUM(D10:D202)*IF(C173="",50,50.0),3)</f>
        <v/>
      </c>
      <c r="F173" s="146">
        <f>ROUND(E173/C173*G203,3)</f>
        <v/>
      </c>
      <c r="G173" s="144" t="inlineStr">
        <is>
          <t>有参转录组（RNA-seq）</t>
        </is>
      </c>
      <c r="H173" s="144" t="inlineStr">
        <is>
          <t>广州奥智生物科技有限公司</t>
        </is>
      </c>
      <c r="I173" s="146" t="n"/>
      <c r="J173" s="144" t="n"/>
      <c r="K173" s="144" t="inlineStr">
        <is>
          <t xml:space="preserve">26.7.29-3-夜_C11 </t>
        </is>
      </c>
      <c r="L173" s="147" t="n"/>
      <c r="M173" s="147" t="n"/>
      <c r="N173" s="147" t="n">
        <v>58.87</v>
      </c>
      <c r="O173" s="147" t="inlineStr">
        <is>
          <t>Illumina Truseq文库</t>
        </is>
      </c>
      <c r="P173" s="147" t="inlineStr">
        <is>
          <t>未磷酸化</t>
        </is>
      </c>
      <c r="Q173" s="147" t="inlineStr">
        <is>
          <t>未环化</t>
        </is>
      </c>
      <c r="R173" s="147" t="inlineStr">
        <is>
          <t>A</t>
        </is>
      </c>
      <c r="S173" s="147" t="n"/>
    </row>
    <row r="174" ht="30" customHeight="1" s="76">
      <c r="A174" s="152" t="n"/>
      <c r="B174" s="144" t="inlineStr">
        <is>
          <t>HGC-Lib-26098242</t>
        </is>
      </c>
      <c r="C174" s="144" t="n">
        <v>47.94</v>
      </c>
      <c r="D174" s="145" t="n">
        <v>5</v>
      </c>
      <c r="E174" s="146">
        <f>ROUND(D174/SUM(D10:D202)*IF(C174="",50,50.0),3)</f>
        <v/>
      </c>
      <c r="F174" s="146">
        <f>ROUND(E174/C174*G203,3)</f>
        <v/>
      </c>
      <c r="G174" s="144" t="inlineStr">
        <is>
          <t>有参转录组（RNA-seq）</t>
        </is>
      </c>
      <c r="H174" s="144" t="inlineStr">
        <is>
          <t>广州奥智生物科技有限公司</t>
        </is>
      </c>
      <c r="I174" s="146" t="n"/>
      <c r="J174" s="144" t="n"/>
      <c r="K174" s="144" t="inlineStr">
        <is>
          <t xml:space="preserve">26.7.29-3-夜_C12 </t>
        </is>
      </c>
      <c r="L174" s="147" t="n"/>
      <c r="M174" s="147" t="n"/>
      <c r="N174" s="147" t="n">
        <v>47.94</v>
      </c>
      <c r="O174" s="147" t="inlineStr">
        <is>
          <t>Illumina Truseq文库</t>
        </is>
      </c>
      <c r="P174" s="147" t="inlineStr">
        <is>
          <t>未磷酸化</t>
        </is>
      </c>
      <c r="Q174" s="147" t="inlineStr">
        <is>
          <t>未环化</t>
        </is>
      </c>
      <c r="R174" s="147" t="inlineStr">
        <is>
          <t>A</t>
        </is>
      </c>
      <c r="S174" s="147" t="n"/>
    </row>
    <row r="175" ht="30" customHeight="1" s="76">
      <c r="A175" s="152" t="n"/>
      <c r="B175" s="144" t="inlineStr">
        <is>
          <t>HGC-Lib-26098243</t>
        </is>
      </c>
      <c r="C175" s="144" t="n">
        <v>44.23</v>
      </c>
      <c r="D175" s="145" t="n">
        <v>5</v>
      </c>
      <c r="E175" s="146">
        <f>ROUND(D175/SUM(D10:D202)*IF(C175="",50,50.0),3)</f>
        <v/>
      </c>
      <c r="F175" s="146">
        <f>ROUND(E175/C175*G203,3)</f>
        <v/>
      </c>
      <c r="G175" s="144" t="inlineStr">
        <is>
          <t>有参转录组（RNA-seq）</t>
        </is>
      </c>
      <c r="H175" s="144" t="inlineStr">
        <is>
          <t>广州奥智生物科技有限公司</t>
        </is>
      </c>
      <c r="I175" s="146" t="n"/>
      <c r="J175" s="144" t="n"/>
      <c r="K175" s="144" t="inlineStr">
        <is>
          <t xml:space="preserve">26.7.29-3-夜_D1 </t>
        </is>
      </c>
      <c r="L175" s="147" t="n"/>
      <c r="M175" s="147" t="n"/>
      <c r="N175" s="147" t="n">
        <v>44.23</v>
      </c>
      <c r="O175" s="147" t="inlineStr">
        <is>
          <t>Illumina Truseq文库</t>
        </is>
      </c>
      <c r="P175" s="147" t="inlineStr">
        <is>
          <t>未磷酸化</t>
        </is>
      </c>
      <c r="Q175" s="147" t="inlineStr">
        <is>
          <t>未环化</t>
        </is>
      </c>
      <c r="R175" s="147" t="inlineStr">
        <is>
          <t>A</t>
        </is>
      </c>
      <c r="S175" s="147" t="n"/>
    </row>
    <row r="176" ht="30" customHeight="1" s="76">
      <c r="A176" s="152" t="n"/>
      <c r="B176" s="144" t="inlineStr">
        <is>
          <t>HGC-Lib-26098244</t>
        </is>
      </c>
      <c r="C176" s="144" t="n">
        <v>57.78</v>
      </c>
      <c r="D176" s="145" t="n">
        <v>5</v>
      </c>
      <c r="E176" s="146">
        <f>ROUND(D176/SUM(D10:D202)*IF(C176="",50,50.0),3)</f>
        <v/>
      </c>
      <c r="F176" s="146">
        <f>ROUND(E176/C176*G203,3)</f>
        <v/>
      </c>
      <c r="G176" s="144" t="inlineStr">
        <is>
          <t>有参转录组（RNA-seq）</t>
        </is>
      </c>
      <c r="H176" s="144" t="inlineStr">
        <is>
          <t>广州奥智生物科技有限公司</t>
        </is>
      </c>
      <c r="I176" s="146" t="n"/>
      <c r="J176" s="144" t="n"/>
      <c r="K176" s="144" t="inlineStr">
        <is>
          <t xml:space="preserve">26.7.29-3-夜_D2 </t>
        </is>
      </c>
      <c r="L176" s="147" t="n"/>
      <c r="M176" s="147" t="n"/>
      <c r="N176" s="147" t="n">
        <v>57.78</v>
      </c>
      <c r="O176" s="147" t="inlineStr">
        <is>
          <t>Illumina Truseq文库</t>
        </is>
      </c>
      <c r="P176" s="147" t="inlineStr">
        <is>
          <t>未磷酸化</t>
        </is>
      </c>
      <c r="Q176" s="147" t="inlineStr">
        <is>
          <t>未环化</t>
        </is>
      </c>
      <c r="R176" s="147" t="inlineStr">
        <is>
          <t>A</t>
        </is>
      </c>
      <c r="S176" s="147" t="n"/>
    </row>
    <row r="177" ht="30" customHeight="1" s="76">
      <c r="A177" s="152" t="n"/>
      <c r="B177" s="144" t="inlineStr">
        <is>
          <t>HGC-Lib-26098245</t>
        </is>
      </c>
      <c r="C177" s="144" t="n">
        <v>52.73</v>
      </c>
      <c r="D177" s="145" t="n">
        <v>5</v>
      </c>
      <c r="E177" s="146">
        <f>ROUND(D177/SUM(D10:D202)*IF(C177="",50,50.0),3)</f>
        <v/>
      </c>
      <c r="F177" s="146">
        <f>ROUND(E177/C177*G203,3)</f>
        <v/>
      </c>
      <c r="G177" s="144" t="inlineStr">
        <is>
          <t>有参转录组（RNA-seq）</t>
        </is>
      </c>
      <c r="H177" s="144" t="inlineStr">
        <is>
          <t>广州奥智生物科技有限公司</t>
        </is>
      </c>
      <c r="I177" s="146" t="n"/>
      <c r="J177" s="144" t="n"/>
      <c r="K177" s="144" t="inlineStr">
        <is>
          <t xml:space="preserve">26.7.29-3-夜_D3 </t>
        </is>
      </c>
      <c r="L177" s="147" t="n"/>
      <c r="M177" s="147" t="n"/>
      <c r="N177" s="147" t="n">
        <v>52.73</v>
      </c>
      <c r="O177" s="147" t="inlineStr">
        <is>
          <t>Illumina Truseq文库</t>
        </is>
      </c>
      <c r="P177" s="147" t="inlineStr">
        <is>
          <t>未磷酸化</t>
        </is>
      </c>
      <c r="Q177" s="147" t="inlineStr">
        <is>
          <t>未环化</t>
        </is>
      </c>
      <c r="R177" s="147" t="inlineStr">
        <is>
          <t>A</t>
        </is>
      </c>
      <c r="S177" s="147" t="n"/>
    </row>
    <row r="178" ht="30" customHeight="1" s="76">
      <c r="A178" s="152" t="n"/>
      <c r="B178" s="144" t="inlineStr">
        <is>
          <t>HGC-Lib-26098246</t>
        </is>
      </c>
      <c r="C178" s="144" t="n">
        <v>55.37</v>
      </c>
      <c r="D178" s="145" t="n">
        <v>5</v>
      </c>
      <c r="E178" s="146">
        <f>ROUND(D178/SUM(D10:D202)*IF(C178="",50,50.0),3)</f>
        <v/>
      </c>
      <c r="F178" s="146">
        <f>ROUND(E178/C178*G203,3)</f>
        <v/>
      </c>
      <c r="G178" s="144" t="inlineStr">
        <is>
          <t>有参转录组（RNA-seq）</t>
        </is>
      </c>
      <c r="H178" s="144" t="inlineStr">
        <is>
          <t>广州奥智生物科技有限公司</t>
        </is>
      </c>
      <c r="I178" s="146" t="n"/>
      <c r="J178" s="144" t="n"/>
      <c r="K178" s="144" t="inlineStr">
        <is>
          <t xml:space="preserve">26.7.29-3-夜_D4 </t>
        </is>
      </c>
      <c r="L178" s="147" t="n"/>
      <c r="M178" s="147" t="n"/>
      <c r="N178" s="147" t="n">
        <v>55.37</v>
      </c>
      <c r="O178" s="147" t="inlineStr">
        <is>
          <t>Illumina Truseq文库</t>
        </is>
      </c>
      <c r="P178" s="147" t="inlineStr">
        <is>
          <t>未磷酸化</t>
        </is>
      </c>
      <c r="Q178" s="147" t="inlineStr">
        <is>
          <t>未环化</t>
        </is>
      </c>
      <c r="R178" s="147" t="inlineStr">
        <is>
          <t>A</t>
        </is>
      </c>
      <c r="S178" s="147" t="n"/>
    </row>
    <row r="179" ht="30" customHeight="1" s="76">
      <c r="A179" s="152" t="n"/>
      <c r="B179" s="144" t="inlineStr">
        <is>
          <t>HGC-Lib-26098247</t>
        </is>
      </c>
      <c r="C179" s="144" t="n">
        <v>60.1</v>
      </c>
      <c r="D179" s="145" t="n">
        <v>5</v>
      </c>
      <c r="E179" s="146">
        <f>ROUND(D179/SUM(D10:D202)*IF(C179="",50,50.0),3)</f>
        <v/>
      </c>
      <c r="F179" s="146">
        <f>ROUND(E179/C179*G203,3)</f>
        <v/>
      </c>
      <c r="G179" s="144" t="inlineStr">
        <is>
          <t>有参转录组（RNA-seq）</t>
        </is>
      </c>
      <c r="H179" s="144" t="inlineStr">
        <is>
          <t>广州奥智生物科技有限公司</t>
        </is>
      </c>
      <c r="I179" s="146" t="n"/>
      <c r="J179" s="144" t="n"/>
      <c r="K179" s="144" t="inlineStr">
        <is>
          <t xml:space="preserve">26.7.29-3-夜_D5 </t>
        </is>
      </c>
      <c r="L179" s="147" t="n"/>
      <c r="M179" s="147" t="n"/>
      <c r="N179" s="147" t="n">
        <v>60.1</v>
      </c>
      <c r="O179" s="147" t="inlineStr">
        <is>
          <t>Illumina Truseq文库</t>
        </is>
      </c>
      <c r="P179" s="147" t="inlineStr">
        <is>
          <t>未磷酸化</t>
        </is>
      </c>
      <c r="Q179" s="147" t="inlineStr">
        <is>
          <t>未环化</t>
        </is>
      </c>
      <c r="R179" s="147" t="inlineStr">
        <is>
          <t>A</t>
        </is>
      </c>
      <c r="S179" s="147" t="n"/>
    </row>
    <row r="180" ht="30" customHeight="1" s="76">
      <c r="A180" s="152" t="n"/>
      <c r="B180" s="144" t="inlineStr">
        <is>
          <t>HGC-Lib-26098248</t>
        </is>
      </c>
      <c r="C180" s="144" t="n">
        <v>62.64</v>
      </c>
      <c r="D180" s="145" t="n">
        <v>5</v>
      </c>
      <c r="E180" s="146">
        <f>ROUND(D180/SUM(D10:D202)*IF(C180="",50,50.0),3)</f>
        <v/>
      </c>
      <c r="F180" s="146">
        <f>ROUND(E180/C180*G203,3)</f>
        <v/>
      </c>
      <c r="G180" s="144" t="inlineStr">
        <is>
          <t>有参转录组（RNA-seq）</t>
        </is>
      </c>
      <c r="H180" s="144" t="inlineStr">
        <is>
          <t>广州奥智生物科技有限公司</t>
        </is>
      </c>
      <c r="I180" s="146" t="n"/>
      <c r="J180" s="144" t="n"/>
      <c r="K180" s="144" t="inlineStr">
        <is>
          <t xml:space="preserve">26.7.29-3-夜_D6 </t>
        </is>
      </c>
      <c r="L180" s="147" t="n"/>
      <c r="M180" s="147" t="n"/>
      <c r="N180" s="147" t="n">
        <v>62.64</v>
      </c>
      <c r="O180" s="147" t="inlineStr">
        <is>
          <t>Illumina Truseq文库</t>
        </is>
      </c>
      <c r="P180" s="147" t="inlineStr">
        <is>
          <t>未磷酸化</t>
        </is>
      </c>
      <c r="Q180" s="147" t="inlineStr">
        <is>
          <t>未环化</t>
        </is>
      </c>
      <c r="R180" s="147" t="inlineStr">
        <is>
          <t>A</t>
        </is>
      </c>
      <c r="S180" s="147" t="n"/>
    </row>
    <row r="181" ht="30" customHeight="1" s="76">
      <c r="A181" s="152" t="n"/>
      <c r="B181" s="144" t="inlineStr">
        <is>
          <t>HGC-Lib-26098249</t>
        </is>
      </c>
      <c r="C181" s="144" t="n">
        <v>22.67</v>
      </c>
      <c r="D181" s="145" t="n">
        <v>5</v>
      </c>
      <c r="E181" s="146">
        <f>ROUND(D181/SUM(D10:D202)*IF(C181="",50,50.0),3)</f>
        <v/>
      </c>
      <c r="F181" s="146">
        <f>ROUND(E181/C181*G203,3)</f>
        <v/>
      </c>
      <c r="G181" s="144" t="inlineStr">
        <is>
          <t>有参转录组（RNA-seq）</t>
        </is>
      </c>
      <c r="H181" s="144" t="inlineStr">
        <is>
          <t>广州奥智生物科技有限公司</t>
        </is>
      </c>
      <c r="I181" s="146" t="n"/>
      <c r="J181" s="144" t="n"/>
      <c r="K181" s="144" t="inlineStr">
        <is>
          <t xml:space="preserve">26.7.29-3-夜_D7 </t>
        </is>
      </c>
      <c r="L181" s="147" t="n"/>
      <c r="M181" s="147" t="n"/>
      <c r="N181" s="147" t="n">
        <v>22.67</v>
      </c>
      <c r="O181" s="147" t="inlineStr">
        <is>
          <t>Illumina Truseq文库</t>
        </is>
      </c>
      <c r="P181" s="147" t="inlineStr">
        <is>
          <t>未磷酸化</t>
        </is>
      </c>
      <c r="Q181" s="147" t="inlineStr">
        <is>
          <t>未环化</t>
        </is>
      </c>
      <c r="R181" s="147" t="inlineStr">
        <is>
          <t>A</t>
        </is>
      </c>
      <c r="S181" s="147" t="n"/>
    </row>
    <row r="182" ht="30" customHeight="1" s="76">
      <c r="A182" s="152" t="n"/>
      <c r="B182" s="144" t="inlineStr">
        <is>
          <t>HGC-Lib-26098250</t>
        </is>
      </c>
      <c r="C182" s="144" t="n">
        <v>81.75</v>
      </c>
      <c r="D182" s="145" t="n">
        <v>5</v>
      </c>
      <c r="E182" s="146">
        <f>ROUND(D182/SUM(D10:D202)*IF(C182="",50,50.0),3)</f>
        <v/>
      </c>
      <c r="F182" s="146">
        <f>ROUND(E182/C182*G203,3)</f>
        <v/>
      </c>
      <c r="G182" s="144" t="inlineStr">
        <is>
          <t>有参转录组（RNA-seq）</t>
        </is>
      </c>
      <c r="H182" s="144" t="inlineStr">
        <is>
          <t>广州奥智生物科技有限公司</t>
        </is>
      </c>
      <c r="I182" s="146" t="n"/>
      <c r="J182" s="144" t="n"/>
      <c r="K182" s="144" t="inlineStr">
        <is>
          <t xml:space="preserve">26.7.29-3-夜_D8 </t>
        </is>
      </c>
      <c r="L182" s="147" t="n"/>
      <c r="M182" s="147" t="n"/>
      <c r="N182" s="147" t="n">
        <v>81.75</v>
      </c>
      <c r="O182" s="147" t="inlineStr">
        <is>
          <t>Illumina Truseq文库</t>
        </is>
      </c>
      <c r="P182" s="147" t="inlineStr">
        <is>
          <t>未磷酸化</t>
        </is>
      </c>
      <c r="Q182" s="147" t="inlineStr">
        <is>
          <t>未环化</t>
        </is>
      </c>
      <c r="R182" s="147" t="inlineStr">
        <is>
          <t>A</t>
        </is>
      </c>
      <c r="S182" s="147" t="n"/>
    </row>
    <row r="183" ht="30" customHeight="1" s="76">
      <c r="A183" s="152" t="n"/>
      <c r="B183" s="144" t="inlineStr">
        <is>
          <t>HGC-Lib-26098251</t>
        </is>
      </c>
      <c r="C183" s="144" t="n">
        <v>61.11</v>
      </c>
      <c r="D183" s="145" t="n">
        <v>5</v>
      </c>
      <c r="E183" s="146">
        <f>ROUND(D183/SUM(D10:D202)*IF(C183="",50,50.0),3)</f>
        <v/>
      </c>
      <c r="F183" s="146">
        <f>ROUND(E183/C183*G203,3)</f>
        <v/>
      </c>
      <c r="G183" s="144" t="inlineStr">
        <is>
          <t>有参转录组（RNA-seq）</t>
        </is>
      </c>
      <c r="H183" s="144" t="inlineStr">
        <is>
          <t>广州奥智生物科技有限公司</t>
        </is>
      </c>
      <c r="I183" s="146" t="n"/>
      <c r="J183" s="144" t="n"/>
      <c r="K183" s="144" t="inlineStr">
        <is>
          <t xml:space="preserve">26.7.29-3-夜_D9 </t>
        </is>
      </c>
      <c r="L183" s="147" t="n"/>
      <c r="M183" s="147" t="n"/>
      <c r="N183" s="147" t="n">
        <v>61.11</v>
      </c>
      <c r="O183" s="147" t="inlineStr">
        <is>
          <t>Illumina Truseq文库</t>
        </is>
      </c>
      <c r="P183" s="147" t="inlineStr">
        <is>
          <t>未磷酸化</t>
        </is>
      </c>
      <c r="Q183" s="147" t="inlineStr">
        <is>
          <t>未环化</t>
        </is>
      </c>
      <c r="R183" s="147" t="inlineStr">
        <is>
          <t>A</t>
        </is>
      </c>
      <c r="S183" s="147" t="n"/>
    </row>
    <row r="184" ht="30" customHeight="1" s="76">
      <c r="A184" s="152" t="n"/>
      <c r="B184" s="144" t="inlineStr">
        <is>
          <t>HGC-Lib-26098252</t>
        </is>
      </c>
      <c r="C184" s="144" t="n">
        <v>63.78</v>
      </c>
      <c r="D184" s="145" t="n">
        <v>5</v>
      </c>
      <c r="E184" s="146">
        <f>ROUND(D184/SUM(D10:D202)*IF(C184="",50,50.0),3)</f>
        <v/>
      </c>
      <c r="F184" s="146">
        <f>ROUND(E184/C184*G203,3)</f>
        <v/>
      </c>
      <c r="G184" s="144" t="inlineStr">
        <is>
          <t>有参转录组（RNA-seq）</t>
        </is>
      </c>
      <c r="H184" s="144" t="inlineStr">
        <is>
          <t>广州奥智生物科技有限公司</t>
        </is>
      </c>
      <c r="I184" s="146" t="n"/>
      <c r="J184" s="144" t="n"/>
      <c r="K184" s="144" t="inlineStr">
        <is>
          <t xml:space="preserve">26.7.29-3-夜_D10 </t>
        </is>
      </c>
      <c r="L184" s="147" t="n"/>
      <c r="M184" s="147" t="n"/>
      <c r="N184" s="147" t="n">
        <v>63.78</v>
      </c>
      <c r="O184" s="147" t="inlineStr">
        <is>
          <t>Illumina Truseq文库</t>
        </is>
      </c>
      <c r="P184" s="147" t="inlineStr">
        <is>
          <t>未磷酸化</t>
        </is>
      </c>
      <c r="Q184" s="147" t="inlineStr">
        <is>
          <t>未环化</t>
        </is>
      </c>
      <c r="R184" s="147" t="inlineStr">
        <is>
          <t>A</t>
        </is>
      </c>
      <c r="S184" s="147" t="n"/>
    </row>
    <row r="185" ht="30" customHeight="1" s="76">
      <c r="A185" s="152" t="n"/>
      <c r="B185" s="144" t="inlineStr">
        <is>
          <t>HGC-Lib-26098253</t>
        </is>
      </c>
      <c r="C185" s="144" t="n">
        <v>57.48</v>
      </c>
      <c r="D185" s="145" t="n">
        <v>5</v>
      </c>
      <c r="E185" s="146">
        <f>ROUND(D185/SUM(D10:D202)*IF(C185="",50,50.0),3)</f>
        <v/>
      </c>
      <c r="F185" s="146">
        <f>ROUND(E185/C185*G203,3)</f>
        <v/>
      </c>
      <c r="G185" s="144" t="inlineStr">
        <is>
          <t>有参转录组（RNA-seq）</t>
        </is>
      </c>
      <c r="H185" s="144" t="inlineStr">
        <is>
          <t>广州奥智生物科技有限公司</t>
        </is>
      </c>
      <c r="I185" s="146" t="n"/>
      <c r="J185" s="144" t="n"/>
      <c r="K185" s="144" t="inlineStr">
        <is>
          <t xml:space="preserve">26.7.29-3-夜_D11 </t>
        </is>
      </c>
      <c r="L185" s="147" t="n"/>
      <c r="M185" s="147" t="n"/>
      <c r="N185" s="147" t="n">
        <v>57.48</v>
      </c>
      <c r="O185" s="147" t="inlineStr">
        <is>
          <t>Illumina Truseq文库</t>
        </is>
      </c>
      <c r="P185" s="147" t="inlineStr">
        <is>
          <t>未磷酸化</t>
        </is>
      </c>
      <c r="Q185" s="147" t="inlineStr">
        <is>
          <t>未环化</t>
        </is>
      </c>
      <c r="R185" s="147" t="inlineStr">
        <is>
          <t>A</t>
        </is>
      </c>
      <c r="S185" s="147" t="n"/>
    </row>
    <row r="186" ht="30" customHeight="1" s="76">
      <c r="A186" s="152" t="n"/>
      <c r="B186" s="144" t="inlineStr">
        <is>
          <t>HGC-Lib-26098254</t>
        </is>
      </c>
      <c r="C186" s="144" t="n">
        <v>59.82</v>
      </c>
      <c r="D186" s="145" t="n">
        <v>5</v>
      </c>
      <c r="E186" s="146">
        <f>ROUND(D186/SUM(D10:D202)*IF(C186="",50,50.0),3)</f>
        <v/>
      </c>
      <c r="F186" s="146">
        <f>ROUND(E186/C186*G203,3)</f>
        <v/>
      </c>
      <c r="G186" s="144" t="inlineStr">
        <is>
          <t>有参转录组（RNA-seq）</t>
        </is>
      </c>
      <c r="H186" s="144" t="inlineStr">
        <is>
          <t>广州奥智生物科技有限公司</t>
        </is>
      </c>
      <c r="I186" s="146" t="n"/>
      <c r="J186" s="144" t="n"/>
      <c r="K186" s="144" t="inlineStr">
        <is>
          <t xml:space="preserve">26.7.29-3-夜_D12 </t>
        </is>
      </c>
      <c r="L186" s="147" t="n"/>
      <c r="M186" s="147" t="n"/>
      <c r="N186" s="147" t="n">
        <v>59.82</v>
      </c>
      <c r="O186" s="147" t="inlineStr">
        <is>
          <t>Illumina Truseq文库</t>
        </is>
      </c>
      <c r="P186" s="147" t="inlineStr">
        <is>
          <t>未磷酸化</t>
        </is>
      </c>
      <c r="Q186" s="147" t="inlineStr">
        <is>
          <t>未环化</t>
        </is>
      </c>
      <c r="R186" s="147" t="inlineStr">
        <is>
          <t>A</t>
        </is>
      </c>
      <c r="S186" s="147" t="n"/>
    </row>
    <row r="187" ht="30" customHeight="1" s="76">
      <c r="A187" s="152" t="n"/>
      <c r="B187" s="144" t="inlineStr">
        <is>
          <t>HGC-Lib-26098255</t>
        </is>
      </c>
      <c r="C187" s="144" t="n">
        <v>12</v>
      </c>
      <c r="D187" s="145" t="n">
        <v>5</v>
      </c>
      <c r="E187" s="146">
        <f>ROUND(D187/SUM(D10:D202)*IF(C187="",50,50.0),3)</f>
        <v/>
      </c>
      <c r="F187" s="146">
        <f>ROUND(E187/C187*G203,3)</f>
        <v/>
      </c>
      <c r="G187" s="144" t="inlineStr">
        <is>
          <t>有参转录组（RNA-seq）</t>
        </is>
      </c>
      <c r="H187" s="144" t="inlineStr">
        <is>
          <t>广州奥智生物科技有限公司</t>
        </is>
      </c>
      <c r="I187" s="146" t="n"/>
      <c r="J187" s="144" t="n"/>
      <c r="K187" s="144" t="inlineStr">
        <is>
          <t xml:space="preserve">26.7.29-3-夜_E1 </t>
        </is>
      </c>
      <c r="L187" s="147" t="n"/>
      <c r="M187" s="147" t="n"/>
      <c r="N187" s="147" t="n">
        <v>12</v>
      </c>
      <c r="O187" s="147" t="inlineStr">
        <is>
          <t>Illumina Truseq文库</t>
        </is>
      </c>
      <c r="P187" s="147" t="inlineStr">
        <is>
          <t>未磷酸化</t>
        </is>
      </c>
      <c r="Q187" s="147" t="inlineStr">
        <is>
          <t>未环化</t>
        </is>
      </c>
      <c r="R187" s="147" t="inlineStr">
        <is>
          <t>A</t>
        </is>
      </c>
      <c r="S187" s="147" t="n"/>
    </row>
    <row r="188" ht="30" customHeight="1" s="76">
      <c r="A188" s="152" t="n"/>
      <c r="B188" s="144" t="inlineStr">
        <is>
          <t>HGC-Lib-26098256</t>
        </is>
      </c>
      <c r="C188" s="144" t="n">
        <v>40.6</v>
      </c>
      <c r="D188" s="145" t="n">
        <v>5</v>
      </c>
      <c r="E188" s="146">
        <f>ROUND(D188/SUM(D10:D202)*IF(C188="",50,50.0),3)</f>
        <v/>
      </c>
      <c r="F188" s="146">
        <f>ROUND(E188/C188*G203,3)</f>
        <v/>
      </c>
      <c r="G188" s="144" t="inlineStr">
        <is>
          <t>有参转录组（RNA-seq）</t>
        </is>
      </c>
      <c r="H188" s="144" t="inlineStr">
        <is>
          <t>广州奥智生物科技有限公司</t>
        </is>
      </c>
      <c r="I188" s="146" t="n"/>
      <c r="J188" s="144" t="n"/>
      <c r="K188" s="144" t="inlineStr">
        <is>
          <t xml:space="preserve">26.7.29-3-夜_E2 </t>
        </is>
      </c>
      <c r="L188" s="147" t="n"/>
      <c r="M188" s="147" t="n"/>
      <c r="N188" s="147" t="n">
        <v>40.6</v>
      </c>
      <c r="O188" s="147" t="inlineStr">
        <is>
          <t>Illumina Truseq文库</t>
        </is>
      </c>
      <c r="P188" s="147" t="inlineStr">
        <is>
          <t>未磷酸化</t>
        </is>
      </c>
      <c r="Q188" s="147" t="inlineStr">
        <is>
          <t>未环化</t>
        </is>
      </c>
      <c r="R188" s="147" t="inlineStr">
        <is>
          <t>A</t>
        </is>
      </c>
      <c r="S188" s="147" t="n"/>
    </row>
    <row r="189" ht="30" customHeight="1" s="76">
      <c r="A189" s="152" t="n"/>
      <c r="B189" s="144" t="inlineStr">
        <is>
          <t>HGC-Lib-26098257</t>
        </is>
      </c>
      <c r="C189" s="144" t="n">
        <v>31.08</v>
      </c>
      <c r="D189" s="145" t="n">
        <v>5</v>
      </c>
      <c r="E189" s="146">
        <f>ROUND(D189/SUM(D10:D202)*IF(C189="",50,50.0),3)</f>
        <v/>
      </c>
      <c r="F189" s="146">
        <f>ROUND(E189/C189*G203,3)</f>
        <v/>
      </c>
      <c r="G189" s="144" t="inlineStr">
        <is>
          <t>有参转录组（RNA-seq）</t>
        </is>
      </c>
      <c r="H189" s="144" t="inlineStr">
        <is>
          <t>广州奥智生物科技有限公司</t>
        </is>
      </c>
      <c r="I189" s="146" t="n"/>
      <c r="J189" s="144" t="n"/>
      <c r="K189" s="144" t="inlineStr">
        <is>
          <t xml:space="preserve">26.7.29-3-夜_E3 </t>
        </is>
      </c>
      <c r="L189" s="147" t="n"/>
      <c r="M189" s="147" t="n"/>
      <c r="N189" s="147" t="n">
        <v>31.08</v>
      </c>
      <c r="O189" s="147" t="inlineStr">
        <is>
          <t>Illumina Truseq文库</t>
        </is>
      </c>
      <c r="P189" s="147" t="inlineStr">
        <is>
          <t>未磷酸化</t>
        </is>
      </c>
      <c r="Q189" s="147" t="inlineStr">
        <is>
          <t>未环化</t>
        </is>
      </c>
      <c r="R189" s="147" t="inlineStr">
        <is>
          <t>A</t>
        </is>
      </c>
      <c r="S189" s="147" t="n"/>
    </row>
    <row r="190" ht="30" customHeight="1" s="76">
      <c r="A190" s="152" t="n"/>
      <c r="B190" s="144" t="inlineStr">
        <is>
          <t>HGC-Lib-26098258</t>
        </is>
      </c>
      <c r="C190" s="144" t="n">
        <v>31.76</v>
      </c>
      <c r="D190" s="145" t="n">
        <v>5</v>
      </c>
      <c r="E190" s="146">
        <f>ROUND(D190/SUM(D10:D202)*IF(C190="",50,50.0),3)</f>
        <v/>
      </c>
      <c r="F190" s="146">
        <f>ROUND(E190/C190*G203,3)</f>
        <v/>
      </c>
      <c r="G190" s="144" t="inlineStr">
        <is>
          <t>有参转录组（RNA-seq）</t>
        </is>
      </c>
      <c r="H190" s="144" t="inlineStr">
        <is>
          <t>广州奥智生物科技有限公司</t>
        </is>
      </c>
      <c r="I190" s="146" t="n"/>
      <c r="J190" s="144" t="n"/>
      <c r="K190" s="144" t="inlineStr">
        <is>
          <t xml:space="preserve">26.7.29-3-夜_E4 </t>
        </is>
      </c>
      <c r="L190" s="147" t="n"/>
      <c r="M190" s="147" t="n"/>
      <c r="N190" s="147" t="n">
        <v>31.76</v>
      </c>
      <c r="O190" s="147" t="inlineStr">
        <is>
          <t>Illumina Truseq文库</t>
        </is>
      </c>
      <c r="P190" s="147" t="inlineStr">
        <is>
          <t>未磷酸化</t>
        </is>
      </c>
      <c r="Q190" s="147" t="inlineStr">
        <is>
          <t>未环化</t>
        </is>
      </c>
      <c r="R190" s="147" t="inlineStr">
        <is>
          <t>A</t>
        </is>
      </c>
      <c r="S190" s="147" t="n"/>
    </row>
    <row r="191" ht="30" customHeight="1" s="76">
      <c r="A191" s="152" t="n"/>
      <c r="B191" s="144" t="inlineStr">
        <is>
          <t>HGC-Lib-26098259</t>
        </is>
      </c>
      <c r="C191" s="144" t="n">
        <v>31.24</v>
      </c>
      <c r="D191" s="145" t="n">
        <v>5</v>
      </c>
      <c r="E191" s="146">
        <f>ROUND(D191/SUM(D10:D202)*IF(C191="",50,50.0),3)</f>
        <v/>
      </c>
      <c r="F191" s="146">
        <f>ROUND(E191/C191*G203,3)</f>
        <v/>
      </c>
      <c r="G191" s="144" t="inlineStr">
        <is>
          <t>有参转录组（RNA-seq）</t>
        </is>
      </c>
      <c r="H191" s="144" t="inlineStr">
        <is>
          <t>广州奥智生物科技有限公司</t>
        </is>
      </c>
      <c r="I191" s="146" t="n"/>
      <c r="J191" s="144" t="n"/>
      <c r="K191" s="144" t="inlineStr">
        <is>
          <t xml:space="preserve">26.7.29-3-夜_E5 </t>
        </is>
      </c>
      <c r="L191" s="147" t="n"/>
      <c r="M191" s="147" t="n"/>
      <c r="N191" s="147" t="n">
        <v>31.24</v>
      </c>
      <c r="O191" s="147" t="inlineStr">
        <is>
          <t>Illumina Truseq文库</t>
        </is>
      </c>
      <c r="P191" s="147" t="inlineStr">
        <is>
          <t>未磷酸化</t>
        </is>
      </c>
      <c r="Q191" s="147" t="inlineStr">
        <is>
          <t>未环化</t>
        </is>
      </c>
      <c r="R191" s="147" t="inlineStr">
        <is>
          <t>A</t>
        </is>
      </c>
      <c r="S191" s="147" t="n"/>
    </row>
    <row r="192" ht="30" customHeight="1" s="76">
      <c r="A192" s="152" t="n"/>
      <c r="B192" s="144" t="inlineStr">
        <is>
          <t>HGC-Lib-26098260</t>
        </is>
      </c>
      <c r="C192" s="144" t="n">
        <v>20.11</v>
      </c>
      <c r="D192" s="145" t="n">
        <v>5</v>
      </c>
      <c r="E192" s="146">
        <f>ROUND(D192/SUM(D10:D202)*IF(C192="",50,50.0),3)</f>
        <v/>
      </c>
      <c r="F192" s="146">
        <f>ROUND(E192/C192*G203,3)</f>
        <v/>
      </c>
      <c r="G192" s="144" t="inlineStr">
        <is>
          <t>有参转录组（RNA-seq）</t>
        </is>
      </c>
      <c r="H192" s="144" t="inlineStr">
        <is>
          <t>广州奥智生物科技有限公司</t>
        </is>
      </c>
      <c r="I192" s="146" t="n"/>
      <c r="J192" s="144" t="n"/>
      <c r="K192" s="144" t="inlineStr">
        <is>
          <t xml:space="preserve">26.7.29-3-夜_E6 </t>
        </is>
      </c>
      <c r="L192" s="147" t="n"/>
      <c r="M192" s="147" t="n"/>
      <c r="N192" s="147" t="n">
        <v>20.11</v>
      </c>
      <c r="O192" s="147" t="inlineStr">
        <is>
          <t>Illumina Truseq文库</t>
        </is>
      </c>
      <c r="P192" s="147" t="inlineStr">
        <is>
          <t>未磷酸化</t>
        </is>
      </c>
      <c r="Q192" s="147" t="inlineStr">
        <is>
          <t>未环化</t>
        </is>
      </c>
      <c r="R192" s="147" t="inlineStr">
        <is>
          <t>A</t>
        </is>
      </c>
      <c r="S192" s="147" t="n"/>
    </row>
    <row r="193" ht="30" customHeight="1" s="76">
      <c r="A193" s="152" t="n"/>
      <c r="B193" s="144" t="inlineStr">
        <is>
          <t>HGC-Lib-26098261</t>
        </is>
      </c>
      <c r="C193" s="144" t="n">
        <v>15.03</v>
      </c>
      <c r="D193" s="145" t="n">
        <v>5</v>
      </c>
      <c r="E193" s="146">
        <f>ROUND(D193/SUM(D10:D202)*IF(C193="",50,50.0),3)</f>
        <v/>
      </c>
      <c r="F193" s="146">
        <f>ROUND(E193/C193*G203,3)</f>
        <v/>
      </c>
      <c r="G193" s="144" t="inlineStr">
        <is>
          <t>有参转录组（RNA-seq）</t>
        </is>
      </c>
      <c r="H193" s="144" t="inlineStr">
        <is>
          <t>广州奥智生物科技有限公司</t>
        </is>
      </c>
      <c r="I193" s="146" t="n"/>
      <c r="J193" s="144" t="n"/>
      <c r="K193" s="144" t="inlineStr">
        <is>
          <t xml:space="preserve">26.7.29-3-夜_E7 </t>
        </is>
      </c>
      <c r="L193" s="147" t="n"/>
      <c r="M193" s="147" t="n"/>
      <c r="N193" s="147" t="n">
        <v>15.03</v>
      </c>
      <c r="O193" s="147" t="inlineStr">
        <is>
          <t>Illumina Truseq文库</t>
        </is>
      </c>
      <c r="P193" s="147" t="inlineStr">
        <is>
          <t>未磷酸化</t>
        </is>
      </c>
      <c r="Q193" s="147" t="inlineStr">
        <is>
          <t>未环化</t>
        </is>
      </c>
      <c r="R193" s="147" t="inlineStr">
        <is>
          <t>A</t>
        </is>
      </c>
      <c r="S193" s="147" t="n"/>
    </row>
    <row r="194" ht="30" customHeight="1" s="76">
      <c r="A194" s="152" t="n"/>
      <c r="B194" s="144" t="inlineStr">
        <is>
          <t>HGC-Lib-26098262</t>
        </is>
      </c>
      <c r="C194" s="144" t="n">
        <v>44.05</v>
      </c>
      <c r="D194" s="145" t="n">
        <v>5</v>
      </c>
      <c r="E194" s="146">
        <f>ROUND(D194/SUM(D10:D202)*IF(C194="",50,50.0),3)</f>
        <v/>
      </c>
      <c r="F194" s="146">
        <f>ROUND(E194/C194*G203,3)</f>
        <v/>
      </c>
      <c r="G194" s="144" t="inlineStr">
        <is>
          <t>有参转录组（RNA-seq）</t>
        </is>
      </c>
      <c r="H194" s="144" t="inlineStr">
        <is>
          <t>广州奥智生物科技有限公司</t>
        </is>
      </c>
      <c r="I194" s="146" t="n"/>
      <c r="J194" s="144" t="n"/>
      <c r="K194" s="144" t="inlineStr">
        <is>
          <t xml:space="preserve">26.7.29-3-夜_E8 </t>
        </is>
      </c>
      <c r="L194" s="147" t="n"/>
      <c r="M194" s="147" t="n"/>
      <c r="N194" s="147" t="n">
        <v>44.05</v>
      </c>
      <c r="O194" s="147" t="inlineStr">
        <is>
          <t>Illumina Truseq文库</t>
        </is>
      </c>
      <c r="P194" s="147" t="inlineStr">
        <is>
          <t>未磷酸化</t>
        </is>
      </c>
      <c r="Q194" s="147" t="inlineStr">
        <is>
          <t>未环化</t>
        </is>
      </c>
      <c r="R194" s="147" t="inlineStr">
        <is>
          <t>A</t>
        </is>
      </c>
      <c r="S194" s="147" t="n"/>
    </row>
    <row r="195" ht="30" customHeight="1" s="76">
      <c r="A195" s="152" t="n"/>
      <c r="B195" s="144" t="inlineStr">
        <is>
          <t>HGC-Lib-26098263</t>
        </is>
      </c>
      <c r="C195" s="144" t="n">
        <v>42</v>
      </c>
      <c r="D195" s="145" t="n">
        <v>5</v>
      </c>
      <c r="E195" s="146">
        <f>ROUND(D195/SUM(D10:D202)*IF(C195="",50,50.0),3)</f>
        <v/>
      </c>
      <c r="F195" s="146">
        <f>ROUND(E195/C195*G203,3)</f>
        <v/>
      </c>
      <c r="G195" s="144" t="inlineStr">
        <is>
          <t>有参转录组（RNA-seq）</t>
        </is>
      </c>
      <c r="H195" s="144" t="inlineStr">
        <is>
          <t>广州奥智生物科技有限公司</t>
        </is>
      </c>
      <c r="I195" s="146" t="n"/>
      <c r="J195" s="144" t="n"/>
      <c r="K195" s="144" t="inlineStr">
        <is>
          <t xml:space="preserve">26.7.29-3-夜_E9 </t>
        </is>
      </c>
      <c r="L195" s="147" t="n"/>
      <c r="M195" s="147" t="n"/>
      <c r="N195" s="147" t="n">
        <v>42</v>
      </c>
      <c r="O195" s="147" t="inlineStr">
        <is>
          <t>Illumina Truseq文库</t>
        </is>
      </c>
      <c r="P195" s="147" t="inlineStr">
        <is>
          <t>未磷酸化</t>
        </is>
      </c>
      <c r="Q195" s="147" t="inlineStr">
        <is>
          <t>未环化</t>
        </is>
      </c>
      <c r="R195" s="147" t="inlineStr">
        <is>
          <t>A</t>
        </is>
      </c>
      <c r="S195" s="147" t="n"/>
    </row>
    <row r="196" ht="30" customHeight="1" s="76">
      <c r="A196" s="152" t="n"/>
      <c r="B196" s="144" t="inlineStr">
        <is>
          <t>HGC-Lib-26098264</t>
        </is>
      </c>
      <c r="C196" s="144" t="n">
        <v>45.08</v>
      </c>
      <c r="D196" s="145" t="n">
        <v>5</v>
      </c>
      <c r="E196" s="146">
        <f>ROUND(D196/SUM(D10:D202)*IF(C196="",50,50.0),3)</f>
        <v/>
      </c>
      <c r="F196" s="146">
        <f>ROUND(E196/C196*G203,3)</f>
        <v/>
      </c>
      <c r="G196" s="144" t="inlineStr">
        <is>
          <t>有参转录组（RNA-seq）</t>
        </is>
      </c>
      <c r="H196" s="144" t="inlineStr">
        <is>
          <t>广州奥智生物科技有限公司</t>
        </is>
      </c>
      <c r="I196" s="146" t="n"/>
      <c r="J196" s="144" t="n"/>
      <c r="K196" s="144" t="inlineStr">
        <is>
          <t xml:space="preserve">26.7.29-3-夜_E10 </t>
        </is>
      </c>
      <c r="L196" s="147" t="n"/>
      <c r="M196" s="147" t="n"/>
      <c r="N196" s="147" t="n">
        <v>45.08</v>
      </c>
      <c r="O196" s="147" t="inlineStr">
        <is>
          <t>Illumina Truseq文库</t>
        </is>
      </c>
      <c r="P196" s="147" t="inlineStr">
        <is>
          <t>未磷酸化</t>
        </is>
      </c>
      <c r="Q196" s="147" t="inlineStr">
        <is>
          <t>未环化</t>
        </is>
      </c>
      <c r="R196" s="147" t="inlineStr">
        <is>
          <t>A</t>
        </is>
      </c>
      <c r="S196" s="147" t="n"/>
    </row>
    <row r="197" ht="30" customHeight="1" s="76">
      <c r="A197" s="152" t="n"/>
      <c r="B197" s="144" t="inlineStr">
        <is>
          <t>HGC-Lib-26098265</t>
        </is>
      </c>
      <c r="C197" s="144" t="n">
        <v>50.53</v>
      </c>
      <c r="D197" s="145" t="n">
        <v>5</v>
      </c>
      <c r="E197" s="146">
        <f>ROUND(D197/SUM(D10:D202)*IF(C197="",50,50.0),3)</f>
        <v/>
      </c>
      <c r="F197" s="146">
        <f>ROUND(E197/C197*G203,3)</f>
        <v/>
      </c>
      <c r="G197" s="144" t="inlineStr">
        <is>
          <t>有参转录组（RNA-seq）</t>
        </is>
      </c>
      <c r="H197" s="144" t="inlineStr">
        <is>
          <t>广州奥智生物科技有限公司</t>
        </is>
      </c>
      <c r="I197" s="146" t="n"/>
      <c r="J197" s="144" t="n"/>
      <c r="K197" s="144" t="inlineStr">
        <is>
          <t xml:space="preserve">26.7.29-3-夜_E11 </t>
        </is>
      </c>
      <c r="L197" s="147" t="n"/>
      <c r="M197" s="147" t="n"/>
      <c r="N197" s="147" t="n">
        <v>50.53</v>
      </c>
      <c r="O197" s="147" t="inlineStr">
        <is>
          <t>Illumina Truseq文库</t>
        </is>
      </c>
      <c r="P197" s="147" t="inlineStr">
        <is>
          <t>未磷酸化</t>
        </is>
      </c>
      <c r="Q197" s="147" t="inlineStr">
        <is>
          <t>未环化</t>
        </is>
      </c>
      <c r="R197" s="147" t="inlineStr">
        <is>
          <t>A</t>
        </is>
      </c>
      <c r="S197" s="147" t="n"/>
    </row>
    <row r="198" ht="30" customHeight="1" s="76">
      <c r="A198" s="152" t="n"/>
      <c r="B198" s="144" t="inlineStr">
        <is>
          <t>HGC-Lib-26098266</t>
        </is>
      </c>
      <c r="C198" s="144" t="n">
        <v>53.38</v>
      </c>
      <c r="D198" s="145" t="n">
        <v>5</v>
      </c>
      <c r="E198" s="146">
        <f>ROUND(D198/SUM(D10:D202)*IF(C198="",50,50.0),3)</f>
        <v/>
      </c>
      <c r="F198" s="146">
        <f>ROUND(E198/C198*G203,3)</f>
        <v/>
      </c>
      <c r="G198" s="144" t="inlineStr">
        <is>
          <t>有参转录组（RNA-seq）</t>
        </is>
      </c>
      <c r="H198" s="144" t="inlineStr">
        <is>
          <t>广州奥智生物科技有限公司</t>
        </is>
      </c>
      <c r="I198" s="146" t="n"/>
      <c r="J198" s="144" t="n"/>
      <c r="K198" s="144" t="inlineStr">
        <is>
          <t xml:space="preserve">26.7.29-3-夜_E12 </t>
        </is>
      </c>
      <c r="L198" s="147" t="n"/>
      <c r="M198" s="147" t="n"/>
      <c r="N198" s="147" t="n">
        <v>53.38</v>
      </c>
      <c r="O198" s="147" t="inlineStr">
        <is>
          <t>Illumina Truseq文库</t>
        </is>
      </c>
      <c r="P198" s="147" t="inlineStr">
        <is>
          <t>未磷酸化</t>
        </is>
      </c>
      <c r="Q198" s="147" t="inlineStr">
        <is>
          <t>未环化</t>
        </is>
      </c>
      <c r="R198" s="147" t="inlineStr">
        <is>
          <t>A</t>
        </is>
      </c>
      <c r="S198" s="147" t="n"/>
    </row>
    <row r="199" ht="30" customHeight="1" s="76">
      <c r="A199" s="152" t="n"/>
      <c r="B199" s="144" t="inlineStr">
        <is>
          <t>HGC-Lib-26098268</t>
        </is>
      </c>
      <c r="C199" s="144" t="n">
        <v>12.22</v>
      </c>
      <c r="D199" s="145" t="n">
        <v>5</v>
      </c>
      <c r="E199" s="146">
        <f>ROUND(D199/SUM(D10:D202)*IF(C199="",50,50.0),3)</f>
        <v/>
      </c>
      <c r="F199" s="146">
        <f>ROUND(E199/C199*G203,3)</f>
        <v/>
      </c>
      <c r="G199" s="144" t="inlineStr">
        <is>
          <t>有参转录组（RNA-seq）</t>
        </is>
      </c>
      <c r="H199" s="144" t="inlineStr">
        <is>
          <t>广州奥智生物科技有限公司</t>
        </is>
      </c>
      <c r="I199" s="146" t="n"/>
      <c r="J199" s="144" t="n"/>
      <c r="K199" s="144" t="inlineStr">
        <is>
          <t xml:space="preserve">26.7.29-3-夜_F2 </t>
        </is>
      </c>
      <c r="L199" s="147" t="n"/>
      <c r="M199" s="147" t="n"/>
      <c r="N199" s="147" t="n">
        <v>12.22</v>
      </c>
      <c r="O199" s="147" t="inlineStr">
        <is>
          <t>Illumina Truseq文库</t>
        </is>
      </c>
      <c r="P199" s="147" t="inlineStr">
        <is>
          <t>未磷酸化</t>
        </is>
      </c>
      <c r="Q199" s="147" t="inlineStr">
        <is>
          <t>未环化</t>
        </is>
      </c>
      <c r="R199" s="147" t="inlineStr">
        <is>
          <t>A</t>
        </is>
      </c>
      <c r="S199" s="147" t="n"/>
    </row>
    <row r="200" ht="30" customHeight="1" s="76">
      <c r="A200" s="152" t="n"/>
      <c r="B200" s="144" t="inlineStr">
        <is>
          <t>HGC-Lib-26098269</t>
        </is>
      </c>
      <c r="C200" s="144" t="n">
        <v>50.99</v>
      </c>
      <c r="D200" s="145" t="n">
        <v>5</v>
      </c>
      <c r="E200" s="146">
        <f>ROUND(D200/SUM(D10:D202)*IF(C200="",50,50.0),3)</f>
        <v/>
      </c>
      <c r="F200" s="146">
        <f>ROUND(E200/C200*G203,3)</f>
        <v/>
      </c>
      <c r="G200" s="144" t="inlineStr">
        <is>
          <t>有参转录组（RNA-seq）</t>
        </is>
      </c>
      <c r="H200" s="144" t="inlineStr">
        <is>
          <t>广州奥智生物科技有限公司</t>
        </is>
      </c>
      <c r="I200" s="146" t="n"/>
      <c r="J200" s="144" t="n"/>
      <c r="K200" s="144" t="inlineStr">
        <is>
          <t xml:space="preserve">26.7.29-3-夜_F3 </t>
        </is>
      </c>
      <c r="L200" s="147" t="n"/>
      <c r="M200" s="147" t="n"/>
      <c r="N200" s="147" t="n">
        <v>50.99</v>
      </c>
      <c r="O200" s="147" t="inlineStr">
        <is>
          <t>Illumina Truseq文库</t>
        </is>
      </c>
      <c r="P200" s="147" t="inlineStr">
        <is>
          <t>未磷酸化</t>
        </is>
      </c>
      <c r="Q200" s="147" t="inlineStr">
        <is>
          <t>未环化</t>
        </is>
      </c>
      <c r="R200" s="147" t="inlineStr">
        <is>
          <t>A</t>
        </is>
      </c>
      <c r="S200" s="147" t="n"/>
    </row>
    <row r="201" ht="30" customHeight="1" s="76">
      <c r="A201" s="152" t="n"/>
      <c r="B201" s="144" t="inlineStr">
        <is>
          <t>HGC-Lib-26098270</t>
        </is>
      </c>
      <c r="C201" s="144" t="n">
        <v>32.46</v>
      </c>
      <c r="D201" s="145" t="n">
        <v>5</v>
      </c>
      <c r="E201" s="146">
        <f>ROUND(D201/SUM(D10:D202)*IF(C201="",50,50.0),3)</f>
        <v/>
      </c>
      <c r="F201" s="146">
        <f>ROUND(E201/C201*G203,3)</f>
        <v/>
      </c>
      <c r="G201" s="144" t="inlineStr">
        <is>
          <t>有参转录组（RNA-seq）</t>
        </is>
      </c>
      <c r="H201" s="144" t="inlineStr">
        <is>
          <t>广州奥智生物科技有限公司</t>
        </is>
      </c>
      <c r="I201" s="146" t="n"/>
      <c r="J201" s="144" t="n"/>
      <c r="K201" s="144" t="n"/>
      <c r="L201" s="147" t="n"/>
      <c r="M201" s="147" t="n"/>
      <c r="N201" s="147" t="n">
        <v>32.46</v>
      </c>
      <c r="O201" s="147" t="inlineStr">
        <is>
          <t>Illumina Truseq文库</t>
        </is>
      </c>
      <c r="P201" s="147" t="inlineStr">
        <is>
          <t>未磷酸化</t>
        </is>
      </c>
      <c r="Q201" s="147" t="inlineStr">
        <is>
          <t>未环化</t>
        </is>
      </c>
      <c r="R201" s="147" t="inlineStr">
        <is>
          <t>A</t>
        </is>
      </c>
      <c r="S201" s="147" t="n"/>
    </row>
    <row r="202" ht="30" customHeight="1" s="76">
      <c r="A202" s="153" t="n"/>
      <c r="B202" s="144" t="inlineStr">
        <is>
          <t>HGC-Lib-26098271</t>
        </is>
      </c>
      <c r="C202" s="144" t="n">
        <v>92.45</v>
      </c>
      <c r="D202" s="145" t="n">
        <v>5</v>
      </c>
      <c r="E202" s="146">
        <f>ROUND(D202/SUM(D10:D202)*IF(C202="",50,50.0),3)</f>
        <v/>
      </c>
      <c r="F202" s="146">
        <f>ROUND(E202/C202*G203,3)</f>
        <v/>
      </c>
      <c r="G202" s="144" t="inlineStr">
        <is>
          <t>有参转录组（RNA-seq）</t>
        </is>
      </c>
      <c r="H202" s="144" t="inlineStr">
        <is>
          <t>广州奥智生物科技有限公司</t>
        </is>
      </c>
      <c r="I202" s="146" t="n"/>
      <c r="J202" s="144" t="n"/>
      <c r="K202" s="144" t="n"/>
      <c r="L202" s="147" t="n"/>
      <c r="M202" s="147" t="n"/>
      <c r="N202" s="147" t="n">
        <v>92.45</v>
      </c>
      <c r="O202" s="147" t="inlineStr">
        <is>
          <t>Illumina Truseq文库</t>
        </is>
      </c>
      <c r="P202" s="147" t="inlineStr">
        <is>
          <t>未磷酸化</t>
        </is>
      </c>
      <c r="Q202" s="147" t="inlineStr">
        <is>
          <t>未环化</t>
        </is>
      </c>
      <c r="R202" s="147" t="inlineStr">
        <is>
          <t>A</t>
        </is>
      </c>
      <c r="S202" s="147" t="n"/>
    </row>
    <row r="203" ht="30" customHeight="1" s="76">
      <c r="A203" s="148" t="n"/>
      <c r="B203" s="147" t="n">
        <v>193</v>
      </c>
      <c r="C203" s="148" t="n"/>
      <c r="D203" s="149">
        <f>ROUND(SUM(D10:D202),2)</f>
        <v/>
      </c>
      <c r="E203" s="150">
        <f>ROUND(SUM(E10:E202),3)</f>
        <v/>
      </c>
      <c r="F203" s="150">
        <f>IF(G203&gt;1,ROUND(SUM(F10:F202)/G203*2,3),ROUND(SUM(F10:F202),3))</f>
        <v/>
      </c>
      <c r="G203" s="147" t="n">
        <v>334</v>
      </c>
      <c r="H203" s="148" t="n"/>
      <c r="I203" s="151">
        <f>ROUND(20-F203,3)</f>
        <v/>
      </c>
      <c r="J203" s="148" t="n"/>
      <c r="K203" s="148" t="n"/>
      <c r="L203" s="148" t="n"/>
      <c r="M203" s="147">
        <f>AVERAGE(M10:M202)</f>
        <v/>
      </c>
      <c r="N203" s="148" t="n"/>
      <c r="O203" s="148" t="n"/>
      <c r="P203" s="148" t="n"/>
      <c r="Q203" s="148" t="n"/>
      <c r="R203" s="148" t="n"/>
      <c r="S203" s="148" t="n"/>
    </row>
    <row r="204" ht="30" customHeight="1" s="76">
      <c r="A204" s="144" t="inlineStr">
        <is>
          <t>D3</t>
        </is>
      </c>
      <c r="B204" s="144" t="inlineStr">
        <is>
          <t>HGC-Lib-26098272</t>
        </is>
      </c>
      <c r="C204" s="144" t="n">
        <v>67.65000000000001</v>
      </c>
      <c r="D204" s="145" t="n">
        <v>5</v>
      </c>
      <c r="E204" s="146">
        <f>ROUND(D204/SUM(D204:D263)*IF(C204="",50,50.0),3)</f>
        <v/>
      </c>
      <c r="F204" s="146">
        <f>ROUND(E204/C204*G264,3)</f>
        <v/>
      </c>
      <c r="G204" s="144" t="inlineStr">
        <is>
          <t>有参转录组（RNA-seq）</t>
        </is>
      </c>
      <c r="H204" s="144" t="inlineStr">
        <is>
          <t>广州奥智生物科技有限公司</t>
        </is>
      </c>
      <c r="I204" s="146" t="n"/>
      <c r="J204" s="144" t="n"/>
      <c r="K204" s="144" t="n"/>
      <c r="L204" s="147" t="n"/>
      <c r="M204" s="147" t="n"/>
      <c r="N204" s="147" t="n">
        <v>67.65000000000001</v>
      </c>
      <c r="O204" s="147" t="inlineStr">
        <is>
          <t>Illumina Truseq文库</t>
        </is>
      </c>
      <c r="P204" s="147" t="inlineStr">
        <is>
          <t>未磷酸化</t>
        </is>
      </c>
      <c r="Q204" s="147" t="inlineStr">
        <is>
          <t>未环化</t>
        </is>
      </c>
      <c r="R204" s="147" t="inlineStr">
        <is>
          <t>A</t>
        </is>
      </c>
      <c r="S204" s="147" t="n"/>
    </row>
    <row r="205" ht="30" customHeight="1" s="76">
      <c r="A205" s="152" t="n"/>
      <c r="B205" s="144" t="inlineStr">
        <is>
          <t>HGC-Lib-26098273</t>
        </is>
      </c>
      <c r="C205" s="144" t="n">
        <v>69.18000000000001</v>
      </c>
      <c r="D205" s="145" t="n">
        <v>5</v>
      </c>
      <c r="E205" s="146">
        <f>ROUND(D205/SUM(D204:D263)*IF(C205="",50,50.0),3)</f>
        <v/>
      </c>
      <c r="F205" s="146">
        <f>ROUND(E205/C205*G264,3)</f>
        <v/>
      </c>
      <c r="G205" s="144" t="inlineStr">
        <is>
          <t>有参转录组（RNA-seq）</t>
        </is>
      </c>
      <c r="H205" s="144" t="inlineStr">
        <is>
          <t>广州奥智生物科技有限公司</t>
        </is>
      </c>
      <c r="I205" s="146" t="n"/>
      <c r="J205" s="144" t="n"/>
      <c r="K205" s="144" t="n"/>
      <c r="L205" s="147" t="n"/>
      <c r="M205" s="147" t="n"/>
      <c r="N205" s="147" t="n">
        <v>69.18000000000001</v>
      </c>
      <c r="O205" s="147" t="inlineStr">
        <is>
          <t>Illumina Truseq文库</t>
        </is>
      </c>
      <c r="P205" s="147" t="inlineStr">
        <is>
          <t>未磷酸化</t>
        </is>
      </c>
      <c r="Q205" s="147" t="inlineStr">
        <is>
          <t>未环化</t>
        </is>
      </c>
      <c r="R205" s="147" t="inlineStr">
        <is>
          <t>A</t>
        </is>
      </c>
      <c r="S205" s="147" t="n"/>
    </row>
    <row r="206" ht="30" customHeight="1" s="76">
      <c r="A206" s="152" t="n"/>
      <c r="B206" s="144" t="inlineStr">
        <is>
          <t>HGC-Lib-26098274</t>
        </is>
      </c>
      <c r="C206" s="144" t="n">
        <v>96.03</v>
      </c>
      <c r="D206" s="145" t="n">
        <v>5</v>
      </c>
      <c r="E206" s="146">
        <f>ROUND(D206/SUM(D204:D263)*IF(C206="",50,50.0),3)</f>
        <v/>
      </c>
      <c r="F206" s="146">
        <f>ROUND(E206/C206*G264,3)</f>
        <v/>
      </c>
      <c r="G206" s="144" t="inlineStr">
        <is>
          <t>有参转录组（RNA-seq）</t>
        </is>
      </c>
      <c r="H206" s="144" t="inlineStr">
        <is>
          <t>广州奥智生物科技有限公司</t>
        </is>
      </c>
      <c r="I206" s="146" t="n"/>
      <c r="J206" s="144" t="n"/>
      <c r="K206" s="144" t="n"/>
      <c r="L206" s="147" t="n"/>
      <c r="M206" s="147" t="n"/>
      <c r="N206" s="147" t="n">
        <v>96.03</v>
      </c>
      <c r="O206" s="147" t="inlineStr">
        <is>
          <t>Illumina Truseq文库</t>
        </is>
      </c>
      <c r="P206" s="147" t="inlineStr">
        <is>
          <t>未磷酸化</t>
        </is>
      </c>
      <c r="Q206" s="147" t="inlineStr">
        <is>
          <t>未环化</t>
        </is>
      </c>
      <c r="R206" s="147" t="inlineStr">
        <is>
          <t>A</t>
        </is>
      </c>
      <c r="S206" s="147" t="n"/>
    </row>
    <row r="207" ht="30" customHeight="1" s="76">
      <c r="A207" s="152" t="n"/>
      <c r="B207" s="144" t="inlineStr">
        <is>
          <t>HGC-Lib-26098275</t>
        </is>
      </c>
      <c r="C207" s="144" t="n">
        <v>36</v>
      </c>
      <c r="D207" s="145" t="n">
        <v>5</v>
      </c>
      <c r="E207" s="146">
        <f>ROUND(D207/SUM(D204:D263)*IF(C207="",50,50.0),3)</f>
        <v/>
      </c>
      <c r="F207" s="146">
        <f>ROUND(E207/C207*G264,3)</f>
        <v/>
      </c>
      <c r="G207" s="144" t="inlineStr">
        <is>
          <t>有参转录组（RNA-seq）</t>
        </is>
      </c>
      <c r="H207" s="144" t="inlineStr">
        <is>
          <t>广州奥智生物科技有限公司</t>
        </is>
      </c>
      <c r="I207" s="146" t="n"/>
      <c r="J207" s="144" t="n"/>
      <c r="K207" s="144" t="n"/>
      <c r="L207" s="147" t="n"/>
      <c r="M207" s="147" t="n"/>
      <c r="N207" s="147" t="n">
        <v>36</v>
      </c>
      <c r="O207" s="147" t="inlineStr">
        <is>
          <t>Illumina Truseq文库</t>
        </is>
      </c>
      <c r="P207" s="147" t="inlineStr">
        <is>
          <t>未磷酸化</t>
        </is>
      </c>
      <c r="Q207" s="147" t="inlineStr">
        <is>
          <t>未环化</t>
        </is>
      </c>
      <c r="R207" s="147" t="inlineStr">
        <is>
          <t>A</t>
        </is>
      </c>
      <c r="S207" s="147" t="n"/>
    </row>
    <row r="208" ht="30" customHeight="1" s="76">
      <c r="A208" s="152" t="n"/>
      <c r="B208" s="144" t="inlineStr">
        <is>
          <t>HGC-Lib-26098276</t>
        </is>
      </c>
      <c r="C208" s="144" t="n">
        <v>73.84999999999999</v>
      </c>
      <c r="D208" s="145" t="n">
        <v>5</v>
      </c>
      <c r="E208" s="146">
        <f>ROUND(D208/SUM(D204:D263)*IF(C208="",50,50.0),3)</f>
        <v/>
      </c>
      <c r="F208" s="146">
        <f>ROUND(E208/C208*G264,3)</f>
        <v/>
      </c>
      <c r="G208" s="144" t="inlineStr">
        <is>
          <t>有参转录组（RNA-seq）</t>
        </is>
      </c>
      <c r="H208" s="144" t="inlineStr">
        <is>
          <t>广州奥智生物科技有限公司</t>
        </is>
      </c>
      <c r="I208" s="146" t="n"/>
      <c r="J208" s="144" t="n"/>
      <c r="K208" s="144" t="n"/>
      <c r="L208" s="147" t="n"/>
      <c r="M208" s="147" t="n"/>
      <c r="N208" s="147" t="n">
        <v>73.84999999999999</v>
      </c>
      <c r="O208" s="147" t="inlineStr">
        <is>
          <t>Illumina Truseq文库</t>
        </is>
      </c>
      <c r="P208" s="147" t="inlineStr">
        <is>
          <t>未磷酸化</t>
        </is>
      </c>
      <c r="Q208" s="147" t="inlineStr">
        <is>
          <t>未环化</t>
        </is>
      </c>
      <c r="R208" s="147" t="inlineStr">
        <is>
          <t>A</t>
        </is>
      </c>
      <c r="S208" s="147" t="n"/>
    </row>
    <row r="209" ht="30" customHeight="1" s="76">
      <c r="A209" s="152" t="n"/>
      <c r="B209" s="144" t="inlineStr">
        <is>
          <t>HGC-Lib-26098277</t>
        </is>
      </c>
      <c r="C209" s="144" t="n">
        <v>30.4</v>
      </c>
      <c r="D209" s="145" t="n">
        <v>5</v>
      </c>
      <c r="E209" s="146">
        <f>ROUND(D209/SUM(D204:D263)*IF(C209="",50,50.0),3)</f>
        <v/>
      </c>
      <c r="F209" s="146">
        <f>ROUND(E209/C209*G264,3)</f>
        <v/>
      </c>
      <c r="G209" s="144" t="inlineStr">
        <is>
          <t>有参转录组（RNA-seq）</t>
        </is>
      </c>
      <c r="H209" s="144" t="inlineStr">
        <is>
          <t>广州奥智生物科技有限公司</t>
        </is>
      </c>
      <c r="I209" s="146" t="n"/>
      <c r="J209" s="144" t="n"/>
      <c r="K209" s="144" t="n"/>
      <c r="L209" s="147" t="n"/>
      <c r="M209" s="147" t="n"/>
      <c r="N209" s="147" t="n">
        <v>30.4</v>
      </c>
      <c r="O209" s="147" t="inlineStr">
        <is>
          <t>Illumina Truseq文库</t>
        </is>
      </c>
      <c r="P209" s="147" t="inlineStr">
        <is>
          <t>未磷酸化</t>
        </is>
      </c>
      <c r="Q209" s="147" t="inlineStr">
        <is>
          <t>未环化</t>
        </is>
      </c>
      <c r="R209" s="147" t="inlineStr">
        <is>
          <t>A</t>
        </is>
      </c>
      <c r="S209" s="147" t="n"/>
    </row>
    <row r="210" ht="30" customHeight="1" s="76">
      <c r="A210" s="152" t="n"/>
      <c r="B210" s="144" t="inlineStr">
        <is>
          <t>HGC-Lib-26098278</t>
        </is>
      </c>
      <c r="C210" s="144" t="n">
        <v>31.4</v>
      </c>
      <c r="D210" s="145" t="n">
        <v>5</v>
      </c>
      <c r="E210" s="146">
        <f>ROUND(D210/SUM(D204:D263)*IF(C210="",50,50.0),3)</f>
        <v/>
      </c>
      <c r="F210" s="146">
        <f>ROUND(E210/C210*G264,3)</f>
        <v/>
      </c>
      <c r="G210" s="144" t="inlineStr">
        <is>
          <t>有参转录组（RNA-seq）</t>
        </is>
      </c>
      <c r="H210" s="144" t="inlineStr">
        <is>
          <t>广州奥智生物科技有限公司</t>
        </is>
      </c>
      <c r="I210" s="146" t="n"/>
      <c r="J210" s="144" t="n"/>
      <c r="K210" s="144" t="n"/>
      <c r="L210" s="147" t="n"/>
      <c r="M210" s="147" t="n"/>
      <c r="N210" s="147" t="n">
        <v>31.4</v>
      </c>
      <c r="O210" s="147" t="inlineStr">
        <is>
          <t>Illumina Truseq文库</t>
        </is>
      </c>
      <c r="P210" s="147" t="inlineStr">
        <is>
          <t>未磷酸化</t>
        </is>
      </c>
      <c r="Q210" s="147" t="inlineStr">
        <is>
          <t>未环化</t>
        </is>
      </c>
      <c r="R210" s="147" t="inlineStr">
        <is>
          <t>A</t>
        </is>
      </c>
      <c r="S210" s="147" t="n"/>
    </row>
    <row r="211" ht="30" customHeight="1" s="76">
      <c r="A211" s="152" t="n"/>
      <c r="B211" s="144" t="inlineStr">
        <is>
          <t>HGC-Lib-26098279</t>
        </is>
      </c>
      <c r="C211" s="144" t="n">
        <v>57.59</v>
      </c>
      <c r="D211" s="145" t="n">
        <v>5</v>
      </c>
      <c r="E211" s="146">
        <f>ROUND(D211/SUM(D204:D263)*IF(C211="",50,50.0),3)</f>
        <v/>
      </c>
      <c r="F211" s="146">
        <f>ROUND(E211/C211*G264,3)</f>
        <v/>
      </c>
      <c r="G211" s="144" t="inlineStr">
        <is>
          <t>有参转录组（RNA-seq）</t>
        </is>
      </c>
      <c r="H211" s="144" t="inlineStr">
        <is>
          <t>广州奥智生物科技有限公司</t>
        </is>
      </c>
      <c r="I211" s="146" t="n"/>
      <c r="J211" s="144" t="n"/>
      <c r="K211" s="144" t="n"/>
      <c r="L211" s="147" t="n"/>
      <c r="M211" s="147" t="n"/>
      <c r="N211" s="147" t="n">
        <v>57.59</v>
      </c>
      <c r="O211" s="147" t="inlineStr">
        <is>
          <t>Illumina Truseq文库</t>
        </is>
      </c>
      <c r="P211" s="147" t="inlineStr">
        <is>
          <t>未磷酸化</t>
        </is>
      </c>
      <c r="Q211" s="147" t="inlineStr">
        <is>
          <t>未环化</t>
        </is>
      </c>
      <c r="R211" s="147" t="inlineStr">
        <is>
          <t>A</t>
        </is>
      </c>
      <c r="S211" s="147" t="n"/>
    </row>
    <row r="212" ht="30" customHeight="1" s="76">
      <c r="A212" s="152" t="n"/>
      <c r="B212" s="144" t="inlineStr">
        <is>
          <t>HGC-Lib-26098280</t>
        </is>
      </c>
      <c r="C212" s="144" t="n">
        <v>38.37</v>
      </c>
      <c r="D212" s="145" t="n">
        <v>5</v>
      </c>
      <c r="E212" s="146">
        <f>ROUND(D212/SUM(D204:D263)*IF(C212="",50,50.0),3)</f>
        <v/>
      </c>
      <c r="F212" s="146">
        <f>ROUND(E212/C212*G264,3)</f>
        <v/>
      </c>
      <c r="G212" s="144" t="inlineStr">
        <is>
          <t>有参转录组（RNA-seq）</t>
        </is>
      </c>
      <c r="H212" s="144" t="inlineStr">
        <is>
          <t>广州奥智生物科技有限公司</t>
        </is>
      </c>
      <c r="I212" s="146" t="n"/>
      <c r="J212" s="144" t="n"/>
      <c r="K212" s="144" t="n"/>
      <c r="L212" s="147" t="n"/>
      <c r="M212" s="147" t="n"/>
      <c r="N212" s="147" t="n">
        <v>38.37</v>
      </c>
      <c r="O212" s="147" t="inlineStr">
        <is>
          <t>Illumina Truseq文库</t>
        </is>
      </c>
      <c r="P212" s="147" t="inlineStr">
        <is>
          <t>未磷酸化</t>
        </is>
      </c>
      <c r="Q212" s="147" t="inlineStr">
        <is>
          <t>未环化</t>
        </is>
      </c>
      <c r="R212" s="147" t="inlineStr">
        <is>
          <t>A</t>
        </is>
      </c>
      <c r="S212" s="147" t="n"/>
    </row>
    <row r="213" ht="30" customHeight="1" s="76">
      <c r="A213" s="152" t="n"/>
      <c r="B213" s="144" t="inlineStr">
        <is>
          <t>HGC-Lib-26098281</t>
        </is>
      </c>
      <c r="C213" s="144" t="n">
        <v>38.4</v>
      </c>
      <c r="D213" s="145" t="n">
        <v>5</v>
      </c>
      <c r="E213" s="146">
        <f>ROUND(D213/SUM(D204:D263)*IF(C213="",50,50.0),3)</f>
        <v/>
      </c>
      <c r="F213" s="146">
        <f>ROUND(E213/C213*G264,3)</f>
        <v/>
      </c>
      <c r="G213" s="144" t="inlineStr">
        <is>
          <t>有参转录组（RNA-seq）</t>
        </is>
      </c>
      <c r="H213" s="144" t="inlineStr">
        <is>
          <t>广州奥智生物科技有限公司</t>
        </is>
      </c>
      <c r="I213" s="146" t="n"/>
      <c r="J213" s="144" t="n"/>
      <c r="K213" s="144" t="n"/>
      <c r="L213" s="147" t="n"/>
      <c r="M213" s="147" t="n"/>
      <c r="N213" s="147" t="n">
        <v>38.4</v>
      </c>
      <c r="O213" s="147" t="inlineStr">
        <is>
          <t>Illumina Truseq文库</t>
        </is>
      </c>
      <c r="P213" s="147" t="inlineStr">
        <is>
          <t>未磷酸化</t>
        </is>
      </c>
      <c r="Q213" s="147" t="inlineStr">
        <is>
          <t>未环化</t>
        </is>
      </c>
      <c r="R213" s="147" t="inlineStr">
        <is>
          <t>A</t>
        </is>
      </c>
      <c r="S213" s="147" t="n"/>
    </row>
    <row r="214" ht="30" customHeight="1" s="76">
      <c r="A214" s="152" t="n"/>
      <c r="B214" s="144" t="inlineStr">
        <is>
          <t>HGC-Lib-26098282</t>
        </is>
      </c>
      <c r="C214" s="144" t="n">
        <v>94.19</v>
      </c>
      <c r="D214" s="145" t="n">
        <v>5</v>
      </c>
      <c r="E214" s="146">
        <f>ROUND(D214/SUM(D204:D263)*IF(C214="",50,50.0),3)</f>
        <v/>
      </c>
      <c r="F214" s="146">
        <f>ROUND(E214/C214*G264,3)</f>
        <v/>
      </c>
      <c r="G214" s="144" t="inlineStr">
        <is>
          <t>有参转录组（RNA-seq）</t>
        </is>
      </c>
      <c r="H214" s="144" t="inlineStr">
        <is>
          <t>广州奥智生物科技有限公司</t>
        </is>
      </c>
      <c r="I214" s="146" t="n"/>
      <c r="J214" s="144" t="n"/>
      <c r="K214" s="144" t="n"/>
      <c r="L214" s="147" t="n"/>
      <c r="M214" s="147" t="n"/>
      <c r="N214" s="147" t="n">
        <v>94.19</v>
      </c>
      <c r="O214" s="147" t="inlineStr">
        <is>
          <t>Illumina Truseq文库</t>
        </is>
      </c>
      <c r="P214" s="147" t="inlineStr">
        <is>
          <t>未磷酸化</t>
        </is>
      </c>
      <c r="Q214" s="147" t="inlineStr">
        <is>
          <t>未环化</t>
        </is>
      </c>
      <c r="R214" s="147" t="inlineStr">
        <is>
          <t>A</t>
        </is>
      </c>
      <c r="S214" s="147" t="n"/>
    </row>
    <row r="215" ht="30" customHeight="1" s="76">
      <c r="A215" s="152" t="n"/>
      <c r="B215" s="144" t="inlineStr">
        <is>
          <t>HGC-Lib-26098283</t>
        </is>
      </c>
      <c r="C215" s="144" t="n">
        <v>49.43</v>
      </c>
      <c r="D215" s="145" t="n">
        <v>5</v>
      </c>
      <c r="E215" s="146">
        <f>ROUND(D215/SUM(D204:D263)*IF(C215="",50,50.0),3)</f>
        <v/>
      </c>
      <c r="F215" s="146">
        <f>ROUND(E215/C215*G264,3)</f>
        <v/>
      </c>
      <c r="G215" s="144" t="inlineStr">
        <is>
          <t>有参转录组（RNA-seq）</t>
        </is>
      </c>
      <c r="H215" s="144" t="inlineStr">
        <is>
          <t>广州奥智生物科技有限公司</t>
        </is>
      </c>
      <c r="I215" s="146" t="n"/>
      <c r="J215" s="144" t="n"/>
      <c r="K215" s="144" t="n"/>
      <c r="L215" s="147" t="n"/>
      <c r="M215" s="147" t="n"/>
      <c r="N215" s="147" t="n">
        <v>49.43</v>
      </c>
      <c r="O215" s="147" t="inlineStr">
        <is>
          <t>Illumina Truseq文库</t>
        </is>
      </c>
      <c r="P215" s="147" t="inlineStr">
        <is>
          <t>未磷酸化</t>
        </is>
      </c>
      <c r="Q215" s="147" t="inlineStr">
        <is>
          <t>未环化</t>
        </is>
      </c>
      <c r="R215" s="147" t="inlineStr">
        <is>
          <t>A</t>
        </is>
      </c>
      <c r="S215" s="147" t="n"/>
    </row>
    <row r="216" ht="30" customHeight="1" s="76">
      <c r="A216" s="152" t="n"/>
      <c r="B216" s="144" t="inlineStr">
        <is>
          <t>HGC-Lib-26098284</t>
        </is>
      </c>
      <c r="C216" s="144" t="n">
        <v>65.97</v>
      </c>
      <c r="D216" s="145" t="n">
        <v>5</v>
      </c>
      <c r="E216" s="146">
        <f>ROUND(D216/SUM(D204:D263)*IF(C216="",50,50.0),3)</f>
        <v/>
      </c>
      <c r="F216" s="146">
        <f>ROUND(E216/C216*G264,3)</f>
        <v/>
      </c>
      <c r="G216" s="144" t="inlineStr">
        <is>
          <t>有参转录组（RNA-seq）</t>
        </is>
      </c>
      <c r="H216" s="144" t="inlineStr">
        <is>
          <t>广州奥智生物科技有限公司</t>
        </is>
      </c>
      <c r="I216" s="146" t="n"/>
      <c r="J216" s="144" t="n"/>
      <c r="K216" s="144" t="n"/>
      <c r="L216" s="147" t="n"/>
      <c r="M216" s="147" t="n"/>
      <c r="N216" s="147" t="n">
        <v>65.97</v>
      </c>
      <c r="O216" s="147" t="inlineStr">
        <is>
          <t>Illumina Truseq文库</t>
        </is>
      </c>
      <c r="P216" s="147" t="inlineStr">
        <is>
          <t>未磷酸化</t>
        </is>
      </c>
      <c r="Q216" s="147" t="inlineStr">
        <is>
          <t>未环化</t>
        </is>
      </c>
      <c r="R216" s="147" t="inlineStr">
        <is>
          <t>A</t>
        </is>
      </c>
      <c r="S216" s="147" t="n"/>
    </row>
    <row r="217" ht="30" customHeight="1" s="76">
      <c r="A217" s="152" t="n"/>
      <c r="B217" s="144" t="inlineStr">
        <is>
          <t>HGC-Lib-26098285</t>
        </is>
      </c>
      <c r="C217" s="144" t="n">
        <v>73.83</v>
      </c>
      <c r="D217" s="145" t="n">
        <v>5</v>
      </c>
      <c r="E217" s="146">
        <f>ROUND(D217/SUM(D204:D263)*IF(C217="",50,50.0),3)</f>
        <v/>
      </c>
      <c r="F217" s="146">
        <f>ROUND(E217/C217*G264,3)</f>
        <v/>
      </c>
      <c r="G217" s="144" t="inlineStr">
        <is>
          <t>有参转录组（RNA-seq）</t>
        </is>
      </c>
      <c r="H217" s="144" t="inlineStr">
        <is>
          <t>广州奥智生物科技有限公司</t>
        </is>
      </c>
      <c r="I217" s="146" t="n"/>
      <c r="J217" s="144" t="n"/>
      <c r="K217" s="144" t="n"/>
      <c r="L217" s="147" t="n"/>
      <c r="M217" s="147" t="n"/>
      <c r="N217" s="147" t="n">
        <v>73.83</v>
      </c>
      <c r="O217" s="147" t="inlineStr">
        <is>
          <t>Illumina Truseq文库</t>
        </is>
      </c>
      <c r="P217" s="147" t="inlineStr">
        <is>
          <t>未磷酸化</t>
        </is>
      </c>
      <c r="Q217" s="147" t="inlineStr">
        <is>
          <t>未环化</t>
        </is>
      </c>
      <c r="R217" s="147" t="inlineStr">
        <is>
          <t>A</t>
        </is>
      </c>
      <c r="S217" s="147" t="n"/>
    </row>
    <row r="218" ht="30" customHeight="1" s="76">
      <c r="A218" s="152" t="n"/>
      <c r="B218" s="144" t="inlineStr">
        <is>
          <t>HGC-Lib-26098286</t>
        </is>
      </c>
      <c r="C218" s="144" t="n">
        <v>30.8</v>
      </c>
      <c r="D218" s="145" t="n">
        <v>5</v>
      </c>
      <c r="E218" s="146">
        <f>ROUND(D218/SUM(D204:D263)*IF(C218="",50,50.0),3)</f>
        <v/>
      </c>
      <c r="F218" s="146">
        <f>ROUND(E218/C218*G264,3)</f>
        <v/>
      </c>
      <c r="G218" s="144" t="inlineStr">
        <is>
          <t>有参转录组（RNA-seq）</t>
        </is>
      </c>
      <c r="H218" s="144" t="inlineStr">
        <is>
          <t>广州奥智生物科技有限公司</t>
        </is>
      </c>
      <c r="I218" s="146" t="n"/>
      <c r="J218" s="144" t="n"/>
      <c r="K218" s="144" t="n"/>
      <c r="L218" s="147" t="n"/>
      <c r="M218" s="147" t="n"/>
      <c r="N218" s="147" t="n">
        <v>30.8</v>
      </c>
      <c r="O218" s="147" t="inlineStr">
        <is>
          <t>Illumina Truseq文库</t>
        </is>
      </c>
      <c r="P218" s="147" t="inlineStr">
        <is>
          <t>未磷酸化</t>
        </is>
      </c>
      <c r="Q218" s="147" t="inlineStr">
        <is>
          <t>未环化</t>
        </is>
      </c>
      <c r="R218" s="147" t="inlineStr">
        <is>
          <t>A</t>
        </is>
      </c>
      <c r="S218" s="147" t="n"/>
    </row>
    <row r="219" ht="30" customHeight="1" s="76">
      <c r="A219" s="152" t="n"/>
      <c r="B219" s="144" t="inlineStr">
        <is>
          <t>HGC-Lib-26098287</t>
        </is>
      </c>
      <c r="C219" s="144" t="n">
        <v>44.97</v>
      </c>
      <c r="D219" s="145" t="n">
        <v>5</v>
      </c>
      <c r="E219" s="146">
        <f>ROUND(D219/SUM(D204:D263)*IF(C219="",50,50.0),3)</f>
        <v/>
      </c>
      <c r="F219" s="146">
        <f>ROUND(E219/C219*G264,3)</f>
        <v/>
      </c>
      <c r="G219" s="144" t="inlineStr">
        <is>
          <t>有参转录组（RNA-seq）</t>
        </is>
      </c>
      <c r="H219" s="144" t="inlineStr">
        <is>
          <t>广州奥智生物科技有限公司</t>
        </is>
      </c>
      <c r="I219" s="146" t="n"/>
      <c r="J219" s="144" t="n"/>
      <c r="K219" s="144" t="n"/>
      <c r="L219" s="147" t="n"/>
      <c r="M219" s="147" t="n"/>
      <c r="N219" s="147" t="n">
        <v>44.97</v>
      </c>
      <c r="O219" s="147" t="inlineStr">
        <is>
          <t>Illumina Truseq文库</t>
        </is>
      </c>
      <c r="P219" s="147" t="inlineStr">
        <is>
          <t>未磷酸化</t>
        </is>
      </c>
      <c r="Q219" s="147" t="inlineStr">
        <is>
          <t>未环化</t>
        </is>
      </c>
      <c r="R219" s="147" t="inlineStr">
        <is>
          <t>A</t>
        </is>
      </c>
      <c r="S219" s="147" t="n"/>
    </row>
    <row r="220" ht="30" customHeight="1" s="76">
      <c r="A220" s="152" t="n"/>
      <c r="B220" s="144" t="inlineStr">
        <is>
          <t>HGC-Lib-26098288</t>
        </is>
      </c>
      <c r="C220" s="144" t="n">
        <v>34.58</v>
      </c>
      <c r="D220" s="145" t="n">
        <v>5</v>
      </c>
      <c r="E220" s="146">
        <f>ROUND(D220/SUM(D204:D263)*IF(C220="",50,50.0),3)</f>
        <v/>
      </c>
      <c r="F220" s="146">
        <f>ROUND(E220/C220*G264,3)</f>
        <v/>
      </c>
      <c r="G220" s="144" t="inlineStr">
        <is>
          <t>有参转录组（RNA-seq）</t>
        </is>
      </c>
      <c r="H220" s="144" t="inlineStr">
        <is>
          <t>广州基迪奥科技服务有限公司</t>
        </is>
      </c>
      <c r="I220" s="146" t="n"/>
      <c r="J220" s="144" t="n"/>
      <c r="K220" s="144" t="inlineStr">
        <is>
          <t>26.7.29-3-白_C1</t>
        </is>
      </c>
      <c r="L220" s="147" t="n"/>
      <c r="M220" s="147" t="n"/>
      <c r="N220" s="147" t="n">
        <v>34.58</v>
      </c>
      <c r="O220" s="147" t="inlineStr">
        <is>
          <t>Illumina Truseq文库</t>
        </is>
      </c>
      <c r="P220" s="147" t="inlineStr">
        <is>
          <t>未磷酸化</t>
        </is>
      </c>
      <c r="Q220" s="147" t="inlineStr">
        <is>
          <t>未环化</t>
        </is>
      </c>
      <c r="R220" s="147" t="inlineStr">
        <is>
          <t>A</t>
        </is>
      </c>
      <c r="S220" s="147" t="n"/>
    </row>
    <row r="221" ht="30" customHeight="1" s="76">
      <c r="A221" s="152" t="n"/>
      <c r="B221" s="144" t="inlineStr">
        <is>
          <t>HGC-Lib-26098289</t>
        </is>
      </c>
      <c r="C221" s="144" t="n">
        <v>22.93</v>
      </c>
      <c r="D221" s="145" t="n">
        <v>5</v>
      </c>
      <c r="E221" s="146">
        <f>ROUND(D221/SUM(D204:D263)*IF(C221="",50,50.0),3)</f>
        <v/>
      </c>
      <c r="F221" s="146">
        <f>ROUND(E221/C221*G264,3)</f>
        <v/>
      </c>
      <c r="G221" s="144" t="inlineStr">
        <is>
          <t>有参转录组（RNA-seq）</t>
        </is>
      </c>
      <c r="H221" s="144" t="inlineStr">
        <is>
          <t>广州基迪奥科技服务有限公司</t>
        </is>
      </c>
      <c r="I221" s="146" t="n"/>
      <c r="J221" s="144" t="n"/>
      <c r="K221" s="144" t="inlineStr">
        <is>
          <t>26.7.29-3-白_C2</t>
        </is>
      </c>
      <c r="L221" s="147" t="n"/>
      <c r="M221" s="147" t="n"/>
      <c r="N221" s="147" t="n">
        <v>22.93</v>
      </c>
      <c r="O221" s="147" t="inlineStr">
        <is>
          <t>Illumina Truseq文库</t>
        </is>
      </c>
      <c r="P221" s="147" t="inlineStr">
        <is>
          <t>未磷酸化</t>
        </is>
      </c>
      <c r="Q221" s="147" t="inlineStr">
        <is>
          <t>未环化</t>
        </is>
      </c>
      <c r="R221" s="147" t="inlineStr">
        <is>
          <t>A</t>
        </is>
      </c>
      <c r="S221" s="147" t="n"/>
    </row>
    <row r="222" ht="30" customHeight="1" s="76">
      <c r="A222" s="152" t="n"/>
      <c r="B222" s="144" t="inlineStr">
        <is>
          <t>HGC-Lib-26098290</t>
        </is>
      </c>
      <c r="C222" s="144" t="n">
        <v>32.57</v>
      </c>
      <c r="D222" s="145" t="n">
        <v>5</v>
      </c>
      <c r="E222" s="146">
        <f>ROUND(D222/SUM(D204:D263)*IF(C222="",50,50.0),3)</f>
        <v/>
      </c>
      <c r="F222" s="146">
        <f>ROUND(E222/C222*G264,3)</f>
        <v/>
      </c>
      <c r="G222" s="144" t="inlineStr">
        <is>
          <t>有参转录组（RNA-seq）</t>
        </is>
      </c>
      <c r="H222" s="144" t="inlineStr">
        <is>
          <t>广州基迪奥科技服务有限公司</t>
        </is>
      </c>
      <c r="I222" s="146" t="n"/>
      <c r="J222" s="144" t="n"/>
      <c r="K222" s="144" t="inlineStr">
        <is>
          <t>26.7.29-3-白_C3</t>
        </is>
      </c>
      <c r="L222" s="147" t="n"/>
      <c r="M222" s="147" t="n"/>
      <c r="N222" s="147" t="n">
        <v>32.57</v>
      </c>
      <c r="O222" s="147" t="inlineStr">
        <is>
          <t>Illumina Truseq文库</t>
        </is>
      </c>
      <c r="P222" s="147" t="inlineStr">
        <is>
          <t>未磷酸化</t>
        </is>
      </c>
      <c r="Q222" s="147" t="inlineStr">
        <is>
          <t>未环化</t>
        </is>
      </c>
      <c r="R222" s="147" t="inlineStr">
        <is>
          <t>A</t>
        </is>
      </c>
      <c r="S222" s="147" t="n"/>
    </row>
    <row r="223" ht="30" customHeight="1" s="76">
      <c r="A223" s="152" t="n"/>
      <c r="B223" s="144" t="inlineStr">
        <is>
          <t>HGC-Lib-26098291</t>
        </is>
      </c>
      <c r="C223" s="144" t="n">
        <v>32.53</v>
      </c>
      <c r="D223" s="145" t="n">
        <v>5</v>
      </c>
      <c r="E223" s="146">
        <f>ROUND(D223/SUM(D204:D263)*IF(C223="",50,50.0),3)</f>
        <v/>
      </c>
      <c r="F223" s="146">
        <f>ROUND(E223/C223*G264,3)</f>
        <v/>
      </c>
      <c r="G223" s="144" t="inlineStr">
        <is>
          <t>有参转录组（RNA-seq）</t>
        </is>
      </c>
      <c r="H223" s="144" t="inlineStr">
        <is>
          <t>广州基迪奥科技服务有限公司</t>
        </is>
      </c>
      <c r="I223" s="146" t="n"/>
      <c r="J223" s="144" t="n"/>
      <c r="K223" s="144" t="inlineStr">
        <is>
          <t>26.7.29-3-白_C4</t>
        </is>
      </c>
      <c r="L223" s="147" t="n"/>
      <c r="M223" s="147" t="n"/>
      <c r="N223" s="147" t="n">
        <v>32.53</v>
      </c>
      <c r="O223" s="147" t="inlineStr">
        <is>
          <t>Illumina Truseq文库</t>
        </is>
      </c>
      <c r="P223" s="147" t="inlineStr">
        <is>
          <t>未磷酸化</t>
        </is>
      </c>
      <c r="Q223" s="147" t="inlineStr">
        <is>
          <t>未环化</t>
        </is>
      </c>
      <c r="R223" s="147" t="inlineStr">
        <is>
          <t>A</t>
        </is>
      </c>
      <c r="S223" s="147" t="n"/>
    </row>
    <row r="224" ht="30" customHeight="1" s="76">
      <c r="A224" s="152" t="n"/>
      <c r="B224" s="144" t="inlineStr">
        <is>
          <t>HGC-Lib-26098292</t>
        </is>
      </c>
      <c r="C224" s="144" t="n">
        <v>30.21</v>
      </c>
      <c r="D224" s="145" t="n">
        <v>5</v>
      </c>
      <c r="E224" s="146">
        <f>ROUND(D224/SUM(D204:D263)*IF(C224="",50,50.0),3)</f>
        <v/>
      </c>
      <c r="F224" s="146">
        <f>ROUND(E224/C224*G264,3)</f>
        <v/>
      </c>
      <c r="G224" s="144" t="inlineStr">
        <is>
          <t>有参转录组（RNA-seq）</t>
        </is>
      </c>
      <c r="H224" s="144" t="inlineStr">
        <is>
          <t>广州基迪奥科技服务有限公司</t>
        </is>
      </c>
      <c r="I224" s="146" t="n"/>
      <c r="J224" s="144" t="n"/>
      <c r="K224" s="144" t="inlineStr">
        <is>
          <t>26.7.29-3-白_C5</t>
        </is>
      </c>
      <c r="L224" s="147" t="n"/>
      <c r="M224" s="147" t="n"/>
      <c r="N224" s="147" t="n">
        <v>30.21</v>
      </c>
      <c r="O224" s="147" t="inlineStr">
        <is>
          <t>Illumina Truseq文库</t>
        </is>
      </c>
      <c r="P224" s="147" t="inlineStr">
        <is>
          <t>未磷酸化</t>
        </is>
      </c>
      <c r="Q224" s="147" t="inlineStr">
        <is>
          <t>未环化</t>
        </is>
      </c>
      <c r="R224" s="147" t="inlineStr">
        <is>
          <t>A</t>
        </is>
      </c>
      <c r="S224" s="147" t="n"/>
    </row>
    <row r="225" ht="30" customHeight="1" s="76">
      <c r="A225" s="152" t="n"/>
      <c r="B225" s="144" t="inlineStr">
        <is>
          <t>HGC-Lib-26098293</t>
        </is>
      </c>
      <c r="C225" s="144" t="n">
        <v>31.42</v>
      </c>
      <c r="D225" s="145" t="n">
        <v>5</v>
      </c>
      <c r="E225" s="146">
        <f>ROUND(D225/SUM(D204:D263)*IF(C225="",50,50.0),3)</f>
        <v/>
      </c>
      <c r="F225" s="146">
        <f>ROUND(E225/C225*G264,3)</f>
        <v/>
      </c>
      <c r="G225" s="144" t="inlineStr">
        <is>
          <t>有参转录组（RNA-seq）</t>
        </is>
      </c>
      <c r="H225" s="144" t="inlineStr">
        <is>
          <t>广州基迪奥科技服务有限公司</t>
        </is>
      </c>
      <c r="I225" s="146" t="n"/>
      <c r="J225" s="144" t="n"/>
      <c r="K225" s="144" t="inlineStr">
        <is>
          <t>26.7.29-3-白_C6</t>
        </is>
      </c>
      <c r="L225" s="147" t="n"/>
      <c r="M225" s="147" t="n"/>
      <c r="N225" s="147" t="n">
        <v>31.42</v>
      </c>
      <c r="O225" s="147" t="inlineStr">
        <is>
          <t>Illumina Truseq文库</t>
        </is>
      </c>
      <c r="P225" s="147" t="inlineStr">
        <is>
          <t>未磷酸化</t>
        </is>
      </c>
      <c r="Q225" s="147" t="inlineStr">
        <is>
          <t>未环化</t>
        </is>
      </c>
      <c r="R225" s="147" t="inlineStr">
        <is>
          <t>A</t>
        </is>
      </c>
      <c r="S225" s="147" t="n"/>
    </row>
    <row r="226" ht="30" customHeight="1" s="76">
      <c r="A226" s="152" t="n"/>
      <c r="B226" s="144" t="inlineStr">
        <is>
          <t>HGC-Lib-26098294</t>
        </is>
      </c>
      <c r="C226" s="144" t="n">
        <v>30.8</v>
      </c>
      <c r="D226" s="145" t="n">
        <v>5</v>
      </c>
      <c r="E226" s="146">
        <f>ROUND(D226/SUM(D204:D263)*IF(C226="",50,50.0),3)</f>
        <v/>
      </c>
      <c r="F226" s="146">
        <f>ROUND(E226/C226*G264,3)</f>
        <v/>
      </c>
      <c r="G226" s="144" t="inlineStr">
        <is>
          <t>有参转录组（RNA-seq）</t>
        </is>
      </c>
      <c r="H226" s="144" t="inlineStr">
        <is>
          <t>广州基迪奥科技服务有限公司</t>
        </is>
      </c>
      <c r="I226" s="146" t="n"/>
      <c r="J226" s="144" t="n"/>
      <c r="K226" s="144" t="inlineStr">
        <is>
          <t>26.7.29-3-白_C7</t>
        </is>
      </c>
      <c r="L226" s="147" t="n"/>
      <c r="M226" s="147" t="n"/>
      <c r="N226" s="147" t="n">
        <v>30.8</v>
      </c>
      <c r="O226" s="147" t="inlineStr">
        <is>
          <t>Illumina Truseq文库</t>
        </is>
      </c>
      <c r="P226" s="147" t="inlineStr">
        <is>
          <t>未磷酸化</t>
        </is>
      </c>
      <c r="Q226" s="147" t="inlineStr">
        <is>
          <t>未环化</t>
        </is>
      </c>
      <c r="R226" s="147" t="inlineStr">
        <is>
          <t>A</t>
        </is>
      </c>
      <c r="S226" s="147" t="n"/>
    </row>
    <row r="227" ht="30" customHeight="1" s="76">
      <c r="A227" s="152" t="n"/>
      <c r="B227" s="144" t="inlineStr">
        <is>
          <t>HGC-Lib-26098295</t>
        </is>
      </c>
      <c r="C227" s="144" t="n">
        <v>29.14</v>
      </c>
      <c r="D227" s="145" t="n">
        <v>5</v>
      </c>
      <c r="E227" s="146">
        <f>ROUND(D227/SUM(D204:D263)*IF(C227="",50,50.0),3)</f>
        <v/>
      </c>
      <c r="F227" s="146">
        <f>ROUND(E227/C227*G264,3)</f>
        <v/>
      </c>
      <c r="G227" s="144" t="inlineStr">
        <is>
          <t>有参转录组（RNA-seq）</t>
        </is>
      </c>
      <c r="H227" s="144" t="inlineStr">
        <is>
          <t>广州基迪奥科技服务有限公司</t>
        </is>
      </c>
      <c r="I227" s="146" t="n"/>
      <c r="J227" s="144" t="n"/>
      <c r="K227" s="144" t="inlineStr">
        <is>
          <t>26.7.29-3-白_C8</t>
        </is>
      </c>
      <c r="L227" s="147" t="n"/>
      <c r="M227" s="147" t="n"/>
      <c r="N227" s="147" t="n">
        <v>29.14</v>
      </c>
      <c r="O227" s="147" t="inlineStr">
        <is>
          <t>Illumina Truseq文库</t>
        </is>
      </c>
      <c r="P227" s="147" t="inlineStr">
        <is>
          <t>未磷酸化</t>
        </is>
      </c>
      <c r="Q227" s="147" t="inlineStr">
        <is>
          <t>未环化</t>
        </is>
      </c>
      <c r="R227" s="147" t="inlineStr">
        <is>
          <t>A</t>
        </is>
      </c>
      <c r="S227" s="147" t="n"/>
    </row>
    <row r="228" ht="30" customHeight="1" s="76">
      <c r="A228" s="152" t="n"/>
      <c r="B228" s="144" t="inlineStr">
        <is>
          <t>HGC-Lib-26098296</t>
        </is>
      </c>
      <c r="C228" s="144" t="n">
        <v>31.03</v>
      </c>
      <c r="D228" s="145" t="n">
        <v>5</v>
      </c>
      <c r="E228" s="146">
        <f>ROUND(D228/SUM(D204:D263)*IF(C228="",50,50.0),3)</f>
        <v/>
      </c>
      <c r="F228" s="146">
        <f>ROUND(E228/C228*G264,3)</f>
        <v/>
      </c>
      <c r="G228" s="144" t="inlineStr">
        <is>
          <t>有参转录组（RNA-seq）</t>
        </is>
      </c>
      <c r="H228" s="144" t="inlineStr">
        <is>
          <t>广州基迪奥科技服务有限公司</t>
        </is>
      </c>
      <c r="I228" s="146" t="n"/>
      <c r="J228" s="144" t="n"/>
      <c r="K228" s="144" t="inlineStr">
        <is>
          <t>26.7.29-3-白_C9</t>
        </is>
      </c>
      <c r="L228" s="147" t="n"/>
      <c r="M228" s="147" t="n"/>
      <c r="N228" s="147" t="n">
        <v>31.03</v>
      </c>
      <c r="O228" s="147" t="inlineStr">
        <is>
          <t>Illumina Truseq文库</t>
        </is>
      </c>
      <c r="P228" s="147" t="inlineStr">
        <is>
          <t>未磷酸化</t>
        </is>
      </c>
      <c r="Q228" s="147" t="inlineStr">
        <is>
          <t>未环化</t>
        </is>
      </c>
      <c r="R228" s="147" t="inlineStr">
        <is>
          <t>A</t>
        </is>
      </c>
      <c r="S228" s="147" t="n"/>
    </row>
    <row r="229" ht="30" customHeight="1" s="76">
      <c r="A229" s="152" t="n"/>
      <c r="B229" s="144" t="inlineStr">
        <is>
          <t>HGC-Lib-26098297</t>
        </is>
      </c>
      <c r="C229" s="144" t="n">
        <v>33.37</v>
      </c>
      <c r="D229" s="145" t="n">
        <v>5</v>
      </c>
      <c r="E229" s="146">
        <f>ROUND(D229/SUM(D204:D263)*IF(C229="",50,50.0),3)</f>
        <v/>
      </c>
      <c r="F229" s="146">
        <f>ROUND(E229/C229*G264,3)</f>
        <v/>
      </c>
      <c r="G229" s="144" t="inlineStr">
        <is>
          <t>有参转录组（RNA-seq）</t>
        </is>
      </c>
      <c r="H229" s="144" t="inlineStr">
        <is>
          <t>广州基迪奥科技服务有限公司</t>
        </is>
      </c>
      <c r="I229" s="146" t="n"/>
      <c r="J229" s="144" t="n"/>
      <c r="K229" s="144" t="inlineStr">
        <is>
          <t>26.7.29-3-白_C10</t>
        </is>
      </c>
      <c r="L229" s="147" t="n"/>
      <c r="M229" s="147" t="n"/>
      <c r="N229" s="147" t="n">
        <v>33.37</v>
      </c>
      <c r="O229" s="147" t="inlineStr">
        <is>
          <t>Illumina Truseq文库</t>
        </is>
      </c>
      <c r="P229" s="147" t="inlineStr">
        <is>
          <t>未磷酸化</t>
        </is>
      </c>
      <c r="Q229" s="147" t="inlineStr">
        <is>
          <t>未环化</t>
        </is>
      </c>
      <c r="R229" s="147" t="inlineStr">
        <is>
          <t>A</t>
        </is>
      </c>
      <c r="S229" s="147" t="n"/>
    </row>
    <row r="230" ht="30" customHeight="1" s="76">
      <c r="A230" s="152" t="n"/>
      <c r="B230" s="144" t="inlineStr">
        <is>
          <t>HGC-Lib-26098298</t>
        </is>
      </c>
      <c r="C230" s="144" t="n">
        <v>33.68</v>
      </c>
      <c r="D230" s="145" t="n">
        <v>5</v>
      </c>
      <c r="E230" s="146">
        <f>ROUND(D230/SUM(D204:D263)*IF(C230="",50,50.0),3)</f>
        <v/>
      </c>
      <c r="F230" s="146">
        <f>ROUND(E230/C230*G264,3)</f>
        <v/>
      </c>
      <c r="G230" s="144" t="inlineStr">
        <is>
          <t>有参转录组（RNA-seq）</t>
        </is>
      </c>
      <c r="H230" s="144" t="inlineStr">
        <is>
          <t>广州基迪奥科技服务有限公司</t>
        </is>
      </c>
      <c r="I230" s="146" t="n"/>
      <c r="J230" s="144" t="n"/>
      <c r="K230" s="144" t="inlineStr">
        <is>
          <t>26.7.29-3-白_C11</t>
        </is>
      </c>
      <c r="L230" s="147" t="n"/>
      <c r="M230" s="147" t="n"/>
      <c r="N230" s="147" t="n">
        <v>33.68</v>
      </c>
      <c r="O230" s="147" t="inlineStr">
        <is>
          <t>Illumina Truseq文库</t>
        </is>
      </c>
      <c r="P230" s="147" t="inlineStr">
        <is>
          <t>未磷酸化</t>
        </is>
      </c>
      <c r="Q230" s="147" t="inlineStr">
        <is>
          <t>未环化</t>
        </is>
      </c>
      <c r="R230" s="147" t="inlineStr">
        <is>
          <t>A</t>
        </is>
      </c>
      <c r="S230" s="147" t="n"/>
    </row>
    <row r="231" ht="30" customHeight="1" s="76">
      <c r="A231" s="152" t="n"/>
      <c r="B231" s="144" t="inlineStr">
        <is>
          <t>HGC-Lib-26098299</t>
        </is>
      </c>
      <c r="C231" s="144" t="n">
        <v>31.81</v>
      </c>
      <c r="D231" s="145" t="n">
        <v>5</v>
      </c>
      <c r="E231" s="146">
        <f>ROUND(D231/SUM(D204:D263)*IF(C231="",50,50.0),3)</f>
        <v/>
      </c>
      <c r="F231" s="146">
        <f>ROUND(E231/C231*G264,3)</f>
        <v/>
      </c>
      <c r="G231" s="144" t="inlineStr">
        <is>
          <t>有参转录组（RNA-seq）</t>
        </is>
      </c>
      <c r="H231" s="144" t="inlineStr">
        <is>
          <t>广州基迪奥科技服务有限公司</t>
        </is>
      </c>
      <c r="I231" s="146" t="n"/>
      <c r="J231" s="144" t="n"/>
      <c r="K231" s="144" t="inlineStr">
        <is>
          <t>26.7.29-3-白_C12</t>
        </is>
      </c>
      <c r="L231" s="147" t="n"/>
      <c r="M231" s="147" t="n"/>
      <c r="N231" s="147" t="n">
        <v>31.81</v>
      </c>
      <c r="O231" s="147" t="inlineStr">
        <is>
          <t>Illumina Truseq文库</t>
        </is>
      </c>
      <c r="P231" s="147" t="inlineStr">
        <is>
          <t>未磷酸化</t>
        </is>
      </c>
      <c r="Q231" s="147" t="inlineStr">
        <is>
          <t>未环化</t>
        </is>
      </c>
      <c r="R231" s="147" t="inlineStr">
        <is>
          <t>A</t>
        </is>
      </c>
      <c r="S231" s="147" t="n"/>
    </row>
    <row r="232" ht="30" customHeight="1" s="76">
      <c r="A232" s="152" t="n"/>
      <c r="B232" s="144" t="inlineStr">
        <is>
          <t>HGC-Lib-26098300</t>
        </is>
      </c>
      <c r="C232" s="144" t="n">
        <v>37.71</v>
      </c>
      <c r="D232" s="145" t="n">
        <v>5</v>
      </c>
      <c r="E232" s="146">
        <f>ROUND(D232/SUM(D204:D263)*IF(C232="",50,50.0),3)</f>
        <v/>
      </c>
      <c r="F232" s="146">
        <f>ROUND(E232/C232*G264,3)</f>
        <v/>
      </c>
      <c r="G232" s="144" t="inlineStr">
        <is>
          <t>有参转录组（RNA-seq）</t>
        </is>
      </c>
      <c r="H232" s="144" t="inlineStr">
        <is>
          <t>广州基迪奥科技服务有限公司</t>
        </is>
      </c>
      <c r="I232" s="146" t="n"/>
      <c r="J232" s="144" t="n"/>
      <c r="K232" s="144" t="inlineStr">
        <is>
          <t>26.7.29-3-白_D1</t>
        </is>
      </c>
      <c r="L232" s="147" t="n"/>
      <c r="M232" s="147" t="n"/>
      <c r="N232" s="147" t="n">
        <v>37.71</v>
      </c>
      <c r="O232" s="147" t="inlineStr">
        <is>
          <t>Illumina Truseq文库</t>
        </is>
      </c>
      <c r="P232" s="147" t="inlineStr">
        <is>
          <t>未磷酸化</t>
        </is>
      </c>
      <c r="Q232" s="147" t="inlineStr">
        <is>
          <t>未环化</t>
        </is>
      </c>
      <c r="R232" s="147" t="inlineStr">
        <is>
          <t>A</t>
        </is>
      </c>
      <c r="S232" s="147" t="n"/>
    </row>
    <row r="233" ht="30" customHeight="1" s="76">
      <c r="A233" s="152" t="n"/>
      <c r="B233" s="144" t="inlineStr">
        <is>
          <t>HGC-Lib-26098301</t>
        </is>
      </c>
      <c r="C233" s="144" t="n">
        <v>32.81</v>
      </c>
      <c r="D233" s="145" t="n">
        <v>5</v>
      </c>
      <c r="E233" s="146">
        <f>ROUND(D233/SUM(D204:D263)*IF(C233="",50,50.0),3)</f>
        <v/>
      </c>
      <c r="F233" s="146">
        <f>ROUND(E233/C233*G264,3)</f>
        <v/>
      </c>
      <c r="G233" s="144" t="inlineStr">
        <is>
          <t>有参转录组（RNA-seq）</t>
        </is>
      </c>
      <c r="H233" s="144" t="inlineStr">
        <is>
          <t>广州基迪奥科技服务有限公司</t>
        </is>
      </c>
      <c r="I233" s="146" t="n"/>
      <c r="J233" s="144" t="n"/>
      <c r="K233" s="144" t="inlineStr">
        <is>
          <t>26.7.29-3-白_D2</t>
        </is>
      </c>
      <c r="L233" s="147" t="n"/>
      <c r="M233" s="147" t="n"/>
      <c r="N233" s="147" t="n">
        <v>32.81</v>
      </c>
      <c r="O233" s="147" t="inlineStr">
        <is>
          <t>Illumina Truseq文库</t>
        </is>
      </c>
      <c r="P233" s="147" t="inlineStr">
        <is>
          <t>未磷酸化</t>
        </is>
      </c>
      <c r="Q233" s="147" t="inlineStr">
        <is>
          <t>未环化</t>
        </is>
      </c>
      <c r="R233" s="147" t="inlineStr">
        <is>
          <t>A</t>
        </is>
      </c>
      <c r="S233" s="147" t="n"/>
    </row>
    <row r="234" ht="30" customHeight="1" s="76">
      <c r="A234" s="152" t="n"/>
      <c r="B234" s="144" t="inlineStr">
        <is>
          <t>HGC-Lib-26098302</t>
        </is>
      </c>
      <c r="C234" s="144" t="n">
        <v>32.77</v>
      </c>
      <c r="D234" s="145" t="n">
        <v>5</v>
      </c>
      <c r="E234" s="146">
        <f>ROUND(D234/SUM(D204:D263)*IF(C234="",50,50.0),3)</f>
        <v/>
      </c>
      <c r="F234" s="146">
        <f>ROUND(E234/C234*G264,3)</f>
        <v/>
      </c>
      <c r="G234" s="144" t="inlineStr">
        <is>
          <t>有参转录组（RNA-seq）</t>
        </is>
      </c>
      <c r="H234" s="144" t="inlineStr">
        <is>
          <t>广州基迪奥科技服务有限公司</t>
        </is>
      </c>
      <c r="I234" s="146" t="n"/>
      <c r="J234" s="144" t="n"/>
      <c r="K234" s="144" t="inlineStr">
        <is>
          <t>26.7.29-3-白_D3</t>
        </is>
      </c>
      <c r="L234" s="147" t="n"/>
      <c r="M234" s="147" t="n"/>
      <c r="N234" s="147" t="n">
        <v>32.77</v>
      </c>
      <c r="O234" s="147" t="inlineStr">
        <is>
          <t>Illumina Truseq文库</t>
        </is>
      </c>
      <c r="P234" s="147" t="inlineStr">
        <is>
          <t>未磷酸化</t>
        </is>
      </c>
      <c r="Q234" s="147" t="inlineStr">
        <is>
          <t>未环化</t>
        </is>
      </c>
      <c r="R234" s="147" t="inlineStr">
        <is>
          <t>A</t>
        </is>
      </c>
      <c r="S234" s="147" t="n"/>
    </row>
    <row r="235" ht="30" customHeight="1" s="76">
      <c r="A235" s="152" t="n"/>
      <c r="B235" s="144" t="inlineStr">
        <is>
          <t>HGC-Lib-26098303</t>
        </is>
      </c>
      <c r="C235" s="144" t="n">
        <v>30.95</v>
      </c>
      <c r="D235" s="145" t="n">
        <v>5</v>
      </c>
      <c r="E235" s="146">
        <f>ROUND(D235/SUM(D204:D263)*IF(C235="",50,50.0),3)</f>
        <v/>
      </c>
      <c r="F235" s="146">
        <f>ROUND(E235/C235*G264,3)</f>
        <v/>
      </c>
      <c r="G235" s="144" t="inlineStr">
        <is>
          <t>有参转录组（RNA-seq）</t>
        </is>
      </c>
      <c r="H235" s="144" t="inlineStr">
        <is>
          <t>广州基迪奥科技服务有限公司</t>
        </is>
      </c>
      <c r="I235" s="146" t="n"/>
      <c r="J235" s="144" t="n"/>
      <c r="K235" s="144" t="inlineStr">
        <is>
          <t>26.7.29-3-白_D4</t>
        </is>
      </c>
      <c r="L235" s="147" t="n"/>
      <c r="M235" s="147" t="n"/>
      <c r="N235" s="147" t="n">
        <v>30.95</v>
      </c>
      <c r="O235" s="147" t="inlineStr">
        <is>
          <t>Illumina Truseq文库</t>
        </is>
      </c>
      <c r="P235" s="147" t="inlineStr">
        <is>
          <t>未磷酸化</t>
        </is>
      </c>
      <c r="Q235" s="147" t="inlineStr">
        <is>
          <t>未环化</t>
        </is>
      </c>
      <c r="R235" s="147" t="inlineStr">
        <is>
          <t>A</t>
        </is>
      </c>
      <c r="S235" s="147" t="n"/>
    </row>
    <row r="236" ht="30" customHeight="1" s="76">
      <c r="A236" s="152" t="n"/>
      <c r="B236" s="144" t="inlineStr">
        <is>
          <t>HGC-Lib-26098304</t>
        </is>
      </c>
      <c r="C236" s="144" t="n">
        <v>30.08</v>
      </c>
      <c r="D236" s="145" t="n">
        <v>5</v>
      </c>
      <c r="E236" s="146">
        <f>ROUND(D236/SUM(D204:D263)*IF(C236="",50,50.0),3)</f>
        <v/>
      </c>
      <c r="F236" s="146">
        <f>ROUND(E236/C236*G264,3)</f>
        <v/>
      </c>
      <c r="G236" s="144" t="inlineStr">
        <is>
          <t>有参转录组（RNA-seq）</t>
        </is>
      </c>
      <c r="H236" s="144" t="inlineStr">
        <is>
          <t>广州基迪奥科技服务有限公司</t>
        </is>
      </c>
      <c r="I236" s="146" t="n"/>
      <c r="J236" s="144" t="n"/>
      <c r="K236" s="144" t="inlineStr">
        <is>
          <t>26.7.29-3-白_D5</t>
        </is>
      </c>
      <c r="L236" s="147" t="n"/>
      <c r="M236" s="147" t="n"/>
      <c r="N236" s="147" t="n">
        <v>30.08</v>
      </c>
      <c r="O236" s="147" t="inlineStr">
        <is>
          <t>Illumina Truseq文库</t>
        </is>
      </c>
      <c r="P236" s="147" t="inlineStr">
        <is>
          <t>未磷酸化</t>
        </is>
      </c>
      <c r="Q236" s="147" t="inlineStr">
        <is>
          <t>未环化</t>
        </is>
      </c>
      <c r="R236" s="147" t="inlineStr">
        <is>
          <t>A</t>
        </is>
      </c>
      <c r="S236" s="147" t="n"/>
    </row>
    <row r="237" ht="30" customHeight="1" s="76">
      <c r="A237" s="152" t="n"/>
      <c r="B237" s="144" t="inlineStr">
        <is>
          <t>HGC-Lib-26098305</t>
        </is>
      </c>
      <c r="C237" s="144" t="n">
        <v>28.61</v>
      </c>
      <c r="D237" s="145" t="n">
        <v>5</v>
      </c>
      <c r="E237" s="146">
        <f>ROUND(D237/SUM(D204:D263)*IF(C237="",50,50.0),3)</f>
        <v/>
      </c>
      <c r="F237" s="146">
        <f>ROUND(E237/C237*G264,3)</f>
        <v/>
      </c>
      <c r="G237" s="144" t="inlineStr">
        <is>
          <t>有参转录组（RNA-seq）</t>
        </is>
      </c>
      <c r="H237" s="144" t="inlineStr">
        <is>
          <t>广州基迪奥科技服务有限公司</t>
        </is>
      </c>
      <c r="I237" s="146" t="n"/>
      <c r="J237" s="144" t="n"/>
      <c r="K237" s="144" t="inlineStr">
        <is>
          <t>26.7.29-3-白_D6</t>
        </is>
      </c>
      <c r="L237" s="147" t="n"/>
      <c r="M237" s="147" t="n"/>
      <c r="N237" s="147" t="n">
        <v>28.61</v>
      </c>
      <c r="O237" s="147" t="inlineStr">
        <is>
          <t>Illumina Truseq文库</t>
        </is>
      </c>
      <c r="P237" s="147" t="inlineStr">
        <is>
          <t>未磷酸化</t>
        </is>
      </c>
      <c r="Q237" s="147" t="inlineStr">
        <is>
          <t>未环化</t>
        </is>
      </c>
      <c r="R237" s="147" t="inlineStr">
        <is>
          <t>A</t>
        </is>
      </c>
      <c r="S237" s="147" t="n"/>
    </row>
    <row r="238" ht="30" customHeight="1" s="76">
      <c r="A238" s="152" t="n"/>
      <c r="B238" s="144" t="inlineStr">
        <is>
          <t>HGC-Lib-26098306</t>
        </is>
      </c>
      <c r="C238" s="144" t="n">
        <v>30.42</v>
      </c>
      <c r="D238" s="145" t="n">
        <v>5</v>
      </c>
      <c r="E238" s="146">
        <f>ROUND(D238/SUM(D204:D263)*IF(C238="",50,50.0),3)</f>
        <v/>
      </c>
      <c r="F238" s="146">
        <f>ROUND(E238/C238*G264,3)</f>
        <v/>
      </c>
      <c r="G238" s="144" t="inlineStr">
        <is>
          <t>有参转录组（RNA-seq）</t>
        </is>
      </c>
      <c r="H238" s="144" t="inlineStr">
        <is>
          <t>广州基迪奥科技服务有限公司</t>
        </is>
      </c>
      <c r="I238" s="146" t="n"/>
      <c r="J238" s="144" t="n"/>
      <c r="K238" s="144" t="inlineStr">
        <is>
          <t>26.7.29-3-白_D7</t>
        </is>
      </c>
      <c r="L238" s="147" t="n"/>
      <c r="M238" s="147" t="n"/>
      <c r="N238" s="147" t="n">
        <v>30.42</v>
      </c>
      <c r="O238" s="147" t="inlineStr">
        <is>
          <t>Illumina Truseq文库</t>
        </is>
      </c>
      <c r="P238" s="147" t="inlineStr">
        <is>
          <t>未磷酸化</t>
        </is>
      </c>
      <c r="Q238" s="147" t="inlineStr">
        <is>
          <t>未环化</t>
        </is>
      </c>
      <c r="R238" s="147" t="inlineStr">
        <is>
          <t>A</t>
        </is>
      </c>
      <c r="S238" s="147" t="n"/>
    </row>
    <row r="239" ht="30" customHeight="1" s="76">
      <c r="A239" s="152" t="n"/>
      <c r="B239" s="144" t="inlineStr">
        <is>
          <t>HGC-Lib-26098307</t>
        </is>
      </c>
      <c r="C239" s="144" t="n">
        <v>27.56</v>
      </c>
      <c r="D239" s="145" t="n">
        <v>5</v>
      </c>
      <c r="E239" s="146">
        <f>ROUND(D239/SUM(D204:D263)*IF(C239="",50,50.0),3)</f>
        <v/>
      </c>
      <c r="F239" s="146">
        <f>ROUND(E239/C239*G264,3)</f>
        <v/>
      </c>
      <c r="G239" s="144" t="inlineStr">
        <is>
          <t>有参转录组（RNA-seq）</t>
        </is>
      </c>
      <c r="H239" s="144" t="inlineStr">
        <is>
          <t>广州基迪奥科技服务有限公司</t>
        </is>
      </c>
      <c r="I239" s="146" t="n"/>
      <c r="J239" s="144" t="n"/>
      <c r="K239" s="144" t="inlineStr">
        <is>
          <t>26.7.29-3-白_D8</t>
        </is>
      </c>
      <c r="L239" s="147" t="n"/>
      <c r="M239" s="147" t="n"/>
      <c r="N239" s="147" t="n">
        <v>27.56</v>
      </c>
      <c r="O239" s="147" t="inlineStr">
        <is>
          <t>Illumina Truseq文库</t>
        </is>
      </c>
      <c r="P239" s="147" t="inlineStr">
        <is>
          <t>未磷酸化</t>
        </is>
      </c>
      <c r="Q239" s="147" t="inlineStr">
        <is>
          <t>未环化</t>
        </is>
      </c>
      <c r="R239" s="147" t="inlineStr">
        <is>
          <t>A</t>
        </is>
      </c>
      <c r="S239" s="147" t="n"/>
    </row>
    <row r="240" ht="30" customHeight="1" s="76">
      <c r="A240" s="152" t="n"/>
      <c r="B240" s="144" t="inlineStr">
        <is>
          <t>HGC-Lib-26098308</t>
        </is>
      </c>
      <c r="C240" s="144" t="n">
        <v>28.05</v>
      </c>
      <c r="D240" s="145" t="n">
        <v>5</v>
      </c>
      <c r="E240" s="146">
        <f>ROUND(D240/SUM(D204:D263)*IF(C240="",50,50.0),3)</f>
        <v/>
      </c>
      <c r="F240" s="146">
        <f>ROUND(E240/C240*G264,3)</f>
        <v/>
      </c>
      <c r="G240" s="144" t="inlineStr">
        <is>
          <t>有参转录组（RNA-seq）</t>
        </is>
      </c>
      <c r="H240" s="144" t="inlineStr">
        <is>
          <t>广州基迪奥科技服务有限公司</t>
        </is>
      </c>
      <c r="I240" s="146" t="n"/>
      <c r="J240" s="144" t="n"/>
      <c r="K240" s="144" t="inlineStr">
        <is>
          <t>26.7.29-3-白_D9</t>
        </is>
      </c>
      <c r="L240" s="147" t="n"/>
      <c r="M240" s="147" t="n"/>
      <c r="N240" s="147" t="n">
        <v>28.05</v>
      </c>
      <c r="O240" s="147" t="inlineStr">
        <is>
          <t>Illumina Truseq文库</t>
        </is>
      </c>
      <c r="P240" s="147" t="inlineStr">
        <is>
          <t>未磷酸化</t>
        </is>
      </c>
      <c r="Q240" s="147" t="inlineStr">
        <is>
          <t>未环化</t>
        </is>
      </c>
      <c r="R240" s="147" t="inlineStr">
        <is>
          <t>A</t>
        </is>
      </c>
      <c r="S240" s="147" t="n"/>
    </row>
    <row r="241" ht="30" customHeight="1" s="76">
      <c r="A241" s="152" t="n"/>
      <c r="B241" s="144" t="inlineStr">
        <is>
          <t>HGC-Lib-26098309</t>
        </is>
      </c>
      <c r="C241" s="144" t="n">
        <v>31.46</v>
      </c>
      <c r="D241" s="145" t="n">
        <v>5</v>
      </c>
      <c r="E241" s="146">
        <f>ROUND(D241/SUM(D204:D263)*IF(C241="",50,50.0),3)</f>
        <v/>
      </c>
      <c r="F241" s="146">
        <f>ROUND(E241/C241*G264,3)</f>
        <v/>
      </c>
      <c r="G241" s="144" t="inlineStr">
        <is>
          <t>有参转录组（RNA-seq）</t>
        </is>
      </c>
      <c r="H241" s="144" t="inlineStr">
        <is>
          <t>广州基迪奥科技服务有限公司</t>
        </is>
      </c>
      <c r="I241" s="146" t="n"/>
      <c r="J241" s="144" t="n"/>
      <c r="K241" s="144" t="inlineStr">
        <is>
          <t>26.7.29-3-白_D10</t>
        </is>
      </c>
      <c r="L241" s="147" t="n"/>
      <c r="M241" s="147" t="n"/>
      <c r="N241" s="147" t="n">
        <v>31.46</v>
      </c>
      <c r="O241" s="147" t="inlineStr">
        <is>
          <t>Illumina Truseq文库</t>
        </is>
      </c>
      <c r="P241" s="147" t="inlineStr">
        <is>
          <t>未磷酸化</t>
        </is>
      </c>
      <c r="Q241" s="147" t="inlineStr">
        <is>
          <t>未环化</t>
        </is>
      </c>
      <c r="R241" s="147" t="inlineStr">
        <is>
          <t>A</t>
        </is>
      </c>
      <c r="S241" s="147" t="n"/>
    </row>
    <row r="242" ht="30" customHeight="1" s="76">
      <c r="A242" s="152" t="n"/>
      <c r="B242" s="144" t="inlineStr">
        <is>
          <t>HGC-Lib-26098310</t>
        </is>
      </c>
      <c r="C242" s="144" t="n">
        <v>31.65</v>
      </c>
      <c r="D242" s="145" t="n">
        <v>5</v>
      </c>
      <c r="E242" s="146">
        <f>ROUND(D242/SUM(D204:D263)*IF(C242="",50,50.0),3)</f>
        <v/>
      </c>
      <c r="F242" s="146">
        <f>ROUND(E242/C242*G264,3)</f>
        <v/>
      </c>
      <c r="G242" s="144" t="inlineStr">
        <is>
          <t>有参转录组（RNA-seq）</t>
        </is>
      </c>
      <c r="H242" s="144" t="inlineStr">
        <is>
          <t>广州基迪奥科技服务有限公司</t>
        </is>
      </c>
      <c r="I242" s="146" t="n"/>
      <c r="J242" s="144" t="n"/>
      <c r="K242" s="144" t="inlineStr">
        <is>
          <t>26.7.29-3-白_D11</t>
        </is>
      </c>
      <c r="L242" s="147" t="n"/>
      <c r="M242" s="147" t="n"/>
      <c r="N242" s="147" t="n">
        <v>31.65</v>
      </c>
      <c r="O242" s="147" t="inlineStr">
        <is>
          <t>Illumina Truseq文库</t>
        </is>
      </c>
      <c r="P242" s="147" t="inlineStr">
        <is>
          <t>未磷酸化</t>
        </is>
      </c>
      <c r="Q242" s="147" t="inlineStr">
        <is>
          <t>未环化</t>
        </is>
      </c>
      <c r="R242" s="147" t="inlineStr">
        <is>
          <t>A</t>
        </is>
      </c>
      <c r="S242" s="147" t="n"/>
    </row>
    <row r="243" ht="30" customHeight="1" s="76">
      <c r="A243" s="152" t="n"/>
      <c r="B243" s="144" t="inlineStr">
        <is>
          <t>HGC-Lib-26098311</t>
        </is>
      </c>
      <c r="C243" s="144" t="n">
        <v>31</v>
      </c>
      <c r="D243" s="145" t="n">
        <v>5</v>
      </c>
      <c r="E243" s="146">
        <f>ROUND(D243/SUM(D204:D263)*IF(C243="",50,50.0),3)</f>
        <v/>
      </c>
      <c r="F243" s="146">
        <f>ROUND(E243/C243*G264,3)</f>
        <v/>
      </c>
      <c r="G243" s="144" t="inlineStr">
        <is>
          <t>有参转录组（RNA-seq）</t>
        </is>
      </c>
      <c r="H243" s="144" t="inlineStr">
        <is>
          <t>广州基迪奥科技服务有限公司</t>
        </is>
      </c>
      <c r="I243" s="146" t="n"/>
      <c r="J243" s="144" t="n"/>
      <c r="K243" s="144" t="inlineStr">
        <is>
          <t>26.7.29-3-白_D12</t>
        </is>
      </c>
      <c r="L243" s="147" t="n"/>
      <c r="M243" s="147" t="n"/>
      <c r="N243" s="147" t="n">
        <v>31</v>
      </c>
      <c r="O243" s="147" t="inlineStr">
        <is>
          <t>Illumina Truseq文库</t>
        </is>
      </c>
      <c r="P243" s="147" t="inlineStr">
        <is>
          <t>未磷酸化</t>
        </is>
      </c>
      <c r="Q243" s="147" t="inlineStr">
        <is>
          <t>未环化</t>
        </is>
      </c>
      <c r="R243" s="147" t="inlineStr">
        <is>
          <t>A</t>
        </is>
      </c>
      <c r="S243" s="147" t="n"/>
    </row>
    <row r="244" ht="30" customHeight="1" s="76">
      <c r="A244" s="152" t="n"/>
      <c r="B244" s="144" t="inlineStr">
        <is>
          <t>HGC-Lib-26098312</t>
        </is>
      </c>
      <c r="C244" s="144" t="n">
        <v>35.99</v>
      </c>
      <c r="D244" s="145" t="n">
        <v>5</v>
      </c>
      <c r="E244" s="146">
        <f>ROUND(D244/SUM(D204:D263)*IF(C244="",50,50.0),3)</f>
        <v/>
      </c>
      <c r="F244" s="146">
        <f>ROUND(E244/C244*G264,3)</f>
        <v/>
      </c>
      <c r="G244" s="144" t="inlineStr">
        <is>
          <t>有参转录组（RNA-seq）</t>
        </is>
      </c>
      <c r="H244" s="144" t="inlineStr">
        <is>
          <t>广州基迪奥科技服务有限公司</t>
        </is>
      </c>
      <c r="I244" s="146" t="n"/>
      <c r="J244" s="144" t="n"/>
      <c r="K244" s="144" t="inlineStr">
        <is>
          <t>26.7.29-3-白_E1</t>
        </is>
      </c>
      <c r="L244" s="147" t="n"/>
      <c r="M244" s="147" t="n"/>
      <c r="N244" s="147" t="n">
        <v>35.99</v>
      </c>
      <c r="O244" s="147" t="inlineStr">
        <is>
          <t>Illumina Truseq文库</t>
        </is>
      </c>
      <c r="P244" s="147" t="inlineStr">
        <is>
          <t>未磷酸化</t>
        </is>
      </c>
      <c r="Q244" s="147" t="inlineStr">
        <is>
          <t>未环化</t>
        </is>
      </c>
      <c r="R244" s="147" t="inlineStr">
        <is>
          <t>A</t>
        </is>
      </c>
      <c r="S244" s="147" t="n"/>
    </row>
    <row r="245" ht="30" customHeight="1" s="76">
      <c r="A245" s="152" t="n"/>
      <c r="B245" s="144" t="inlineStr">
        <is>
          <t>HGC-Lib-26098313</t>
        </is>
      </c>
      <c r="C245" s="144" t="n">
        <v>35.07</v>
      </c>
      <c r="D245" s="145" t="n">
        <v>5</v>
      </c>
      <c r="E245" s="146">
        <f>ROUND(D245/SUM(D204:D263)*IF(C245="",50,50.0),3)</f>
        <v/>
      </c>
      <c r="F245" s="146">
        <f>ROUND(E245/C245*G264,3)</f>
        <v/>
      </c>
      <c r="G245" s="144" t="inlineStr">
        <is>
          <t>有参转录组（RNA-seq）</t>
        </is>
      </c>
      <c r="H245" s="144" t="inlineStr">
        <is>
          <t>广州基迪奥科技服务有限公司</t>
        </is>
      </c>
      <c r="I245" s="146" t="n"/>
      <c r="J245" s="144" t="n"/>
      <c r="K245" s="144" t="inlineStr">
        <is>
          <t>26.7.29-3-白_E2</t>
        </is>
      </c>
      <c r="L245" s="147" t="n"/>
      <c r="M245" s="147" t="n"/>
      <c r="N245" s="147" t="n">
        <v>35.07</v>
      </c>
      <c r="O245" s="147" t="inlineStr">
        <is>
          <t>Illumina Truseq文库</t>
        </is>
      </c>
      <c r="P245" s="147" t="inlineStr">
        <is>
          <t>未磷酸化</t>
        </is>
      </c>
      <c r="Q245" s="147" t="inlineStr">
        <is>
          <t>未环化</t>
        </is>
      </c>
      <c r="R245" s="147" t="inlineStr">
        <is>
          <t>A</t>
        </is>
      </c>
      <c r="S245" s="147" t="n"/>
    </row>
    <row r="246" ht="30" customHeight="1" s="76">
      <c r="A246" s="152" t="n"/>
      <c r="B246" s="144" t="inlineStr">
        <is>
          <t>HGC-Lib-26098314</t>
        </is>
      </c>
      <c r="C246" s="144" t="n">
        <v>33.26</v>
      </c>
      <c r="D246" s="145" t="n">
        <v>5</v>
      </c>
      <c r="E246" s="146">
        <f>ROUND(D246/SUM(D204:D263)*IF(C246="",50,50.0),3)</f>
        <v/>
      </c>
      <c r="F246" s="146">
        <f>ROUND(E246/C246*G264,3)</f>
        <v/>
      </c>
      <c r="G246" s="144" t="inlineStr">
        <is>
          <t>有参转录组（RNA-seq）</t>
        </is>
      </c>
      <c r="H246" s="144" t="inlineStr">
        <is>
          <t>广州基迪奥科技服务有限公司</t>
        </is>
      </c>
      <c r="I246" s="146" t="n"/>
      <c r="J246" s="144" t="n"/>
      <c r="K246" s="144" t="inlineStr">
        <is>
          <t>26.7.29-3-白_E3</t>
        </is>
      </c>
      <c r="L246" s="147" t="n"/>
      <c r="M246" s="147" t="n"/>
      <c r="N246" s="147" t="n">
        <v>33.26</v>
      </c>
      <c r="O246" s="147" t="inlineStr">
        <is>
          <t>Illumina Truseq文库</t>
        </is>
      </c>
      <c r="P246" s="147" t="inlineStr">
        <is>
          <t>未磷酸化</t>
        </is>
      </c>
      <c r="Q246" s="147" t="inlineStr">
        <is>
          <t>未环化</t>
        </is>
      </c>
      <c r="R246" s="147" t="inlineStr">
        <is>
          <t>A</t>
        </is>
      </c>
      <c r="S246" s="147" t="n"/>
    </row>
    <row r="247" ht="30" customHeight="1" s="76">
      <c r="A247" s="152" t="n"/>
      <c r="B247" s="144" t="inlineStr">
        <is>
          <t>HGC-Lib-26098315</t>
        </is>
      </c>
      <c r="C247" s="144" t="n">
        <v>30.72</v>
      </c>
      <c r="D247" s="145" t="n">
        <v>5</v>
      </c>
      <c r="E247" s="146">
        <f>ROUND(D247/SUM(D204:D263)*IF(C247="",50,50.0),3)</f>
        <v/>
      </c>
      <c r="F247" s="146">
        <f>ROUND(E247/C247*G264,3)</f>
        <v/>
      </c>
      <c r="G247" s="144" t="inlineStr">
        <is>
          <t>有参转录组（RNA-seq）</t>
        </is>
      </c>
      <c r="H247" s="144" t="inlineStr">
        <is>
          <t>广州基迪奥科技服务有限公司</t>
        </is>
      </c>
      <c r="I247" s="146" t="n"/>
      <c r="J247" s="144" t="n"/>
      <c r="K247" s="144" t="inlineStr">
        <is>
          <t>26.7.29-3-白_E4</t>
        </is>
      </c>
      <c r="L247" s="147" t="n"/>
      <c r="M247" s="147" t="n"/>
      <c r="N247" s="147" t="n">
        <v>30.72</v>
      </c>
      <c r="O247" s="147" t="inlineStr">
        <is>
          <t>Illumina Truseq文库</t>
        </is>
      </c>
      <c r="P247" s="147" t="inlineStr">
        <is>
          <t>未磷酸化</t>
        </is>
      </c>
      <c r="Q247" s="147" t="inlineStr">
        <is>
          <t>未环化</t>
        </is>
      </c>
      <c r="R247" s="147" t="inlineStr">
        <is>
          <t>A</t>
        </is>
      </c>
      <c r="S247" s="147" t="n"/>
    </row>
    <row r="248" ht="30" customHeight="1" s="76">
      <c r="A248" s="152" t="n"/>
      <c r="B248" s="144" t="inlineStr">
        <is>
          <t>HGC-Lib-26098316</t>
        </is>
      </c>
      <c r="C248" s="144" t="n">
        <v>30.97</v>
      </c>
      <c r="D248" s="145" t="n">
        <v>5</v>
      </c>
      <c r="E248" s="146">
        <f>ROUND(D248/SUM(D204:D263)*IF(C248="",50,50.0),3)</f>
        <v/>
      </c>
      <c r="F248" s="146">
        <f>ROUND(E248/C248*G264,3)</f>
        <v/>
      </c>
      <c r="G248" s="144" t="inlineStr">
        <is>
          <t>有参转录组（RNA-seq）</t>
        </is>
      </c>
      <c r="H248" s="144" t="inlineStr">
        <is>
          <t>广州基迪奥科技服务有限公司</t>
        </is>
      </c>
      <c r="I248" s="146" t="n"/>
      <c r="J248" s="144" t="n"/>
      <c r="K248" s="144" t="inlineStr">
        <is>
          <t>26.7.29-3-白_E5</t>
        </is>
      </c>
      <c r="L248" s="147" t="n"/>
      <c r="M248" s="147" t="n"/>
      <c r="N248" s="147" t="n">
        <v>30.97</v>
      </c>
      <c r="O248" s="147" t="inlineStr">
        <is>
          <t>Illumina Truseq文库</t>
        </is>
      </c>
      <c r="P248" s="147" t="inlineStr">
        <is>
          <t>未磷酸化</t>
        </is>
      </c>
      <c r="Q248" s="147" t="inlineStr">
        <is>
          <t>未环化</t>
        </is>
      </c>
      <c r="R248" s="147" t="inlineStr">
        <is>
          <t>A</t>
        </is>
      </c>
      <c r="S248" s="147" t="n"/>
    </row>
    <row r="249" ht="30" customHeight="1" s="76">
      <c r="A249" s="152" t="n"/>
      <c r="B249" s="144" t="inlineStr">
        <is>
          <t>HGC-Lib-26098317</t>
        </is>
      </c>
      <c r="C249" s="144" t="n">
        <v>31.43</v>
      </c>
      <c r="D249" s="145" t="n">
        <v>5</v>
      </c>
      <c r="E249" s="146">
        <f>ROUND(D249/SUM(D204:D263)*IF(C249="",50,50.0),3)</f>
        <v/>
      </c>
      <c r="F249" s="146">
        <f>ROUND(E249/C249*G264,3)</f>
        <v/>
      </c>
      <c r="G249" s="144" t="inlineStr">
        <is>
          <t>有参转录组（RNA-seq）</t>
        </is>
      </c>
      <c r="H249" s="144" t="inlineStr">
        <is>
          <t>广州基迪奥科技服务有限公司</t>
        </is>
      </c>
      <c r="I249" s="146" t="n"/>
      <c r="J249" s="144" t="n"/>
      <c r="K249" s="144" t="inlineStr">
        <is>
          <t>26.7.29-3-白_E6</t>
        </is>
      </c>
      <c r="L249" s="147" t="n"/>
      <c r="M249" s="147" t="n"/>
      <c r="N249" s="147" t="n">
        <v>31.43</v>
      </c>
      <c r="O249" s="147" t="inlineStr">
        <is>
          <t>Illumina Truseq文库</t>
        </is>
      </c>
      <c r="P249" s="147" t="inlineStr">
        <is>
          <t>未磷酸化</t>
        </is>
      </c>
      <c r="Q249" s="147" t="inlineStr">
        <is>
          <t>未环化</t>
        </is>
      </c>
      <c r="R249" s="147" t="inlineStr">
        <is>
          <t>A</t>
        </is>
      </c>
      <c r="S249" s="147" t="n"/>
    </row>
    <row r="250" ht="30" customHeight="1" s="76">
      <c r="A250" s="152" t="n"/>
      <c r="B250" s="144" t="inlineStr">
        <is>
          <t>HGC-Lib-26098318</t>
        </is>
      </c>
      <c r="C250" s="144" t="n">
        <v>47.22</v>
      </c>
      <c r="D250" s="145" t="n">
        <v>5</v>
      </c>
      <c r="E250" s="146">
        <f>ROUND(D250/SUM(D204:D263)*IF(C250="",50,50.0),3)</f>
        <v/>
      </c>
      <c r="F250" s="146">
        <f>ROUND(E250/C250*G264,3)</f>
        <v/>
      </c>
      <c r="G250" s="144" t="inlineStr">
        <is>
          <t>有参转录组（RNA-seq）</t>
        </is>
      </c>
      <c r="H250" s="144" t="inlineStr">
        <is>
          <t>广州基迪奥科技服务有限公司</t>
        </is>
      </c>
      <c r="I250" s="146" t="n"/>
      <c r="J250" s="144" t="n"/>
      <c r="K250" s="154" t="inlineStr">
        <is>
          <t>26.7.29-3-夜_F4</t>
        </is>
      </c>
      <c r="L250" s="147" t="n"/>
      <c r="M250" s="147" t="n"/>
      <c r="N250" s="147" t="n">
        <v>47.22</v>
      </c>
      <c r="O250" s="147" t="inlineStr">
        <is>
          <t>Illumina Truseq文库</t>
        </is>
      </c>
      <c r="P250" s="147" t="inlineStr">
        <is>
          <t>未磷酸化</t>
        </is>
      </c>
      <c r="Q250" s="147" t="inlineStr">
        <is>
          <t>未环化</t>
        </is>
      </c>
      <c r="R250" s="147" t="inlineStr">
        <is>
          <t>A</t>
        </is>
      </c>
      <c r="S250" s="147" t="n"/>
    </row>
    <row r="251" ht="30" customHeight="1" s="76">
      <c r="A251" s="152" t="n"/>
      <c r="B251" s="144" t="inlineStr">
        <is>
          <t>HGC-Lib-26098320</t>
        </is>
      </c>
      <c r="C251" s="144" t="n">
        <v>38.78</v>
      </c>
      <c r="D251" s="145" t="n">
        <v>5</v>
      </c>
      <c r="E251" s="146">
        <f>ROUND(D251/SUM(D204:D263)*IF(C251="",50,50.0),3)</f>
        <v/>
      </c>
      <c r="F251" s="146">
        <f>ROUND(E251/C251*G264,3)</f>
        <v/>
      </c>
      <c r="G251" s="144" t="inlineStr">
        <is>
          <t>有参转录组（RNA-seq）</t>
        </is>
      </c>
      <c r="H251" s="144" t="inlineStr">
        <is>
          <t>广州基迪奥科技服务有限公司</t>
        </is>
      </c>
      <c r="I251" s="146" t="n"/>
      <c r="J251" s="144" t="n"/>
      <c r="K251" s="154" t="inlineStr">
        <is>
          <t>26.7.29-3-夜_F6</t>
        </is>
      </c>
      <c r="L251" s="147" t="n"/>
      <c r="M251" s="147" t="n"/>
      <c r="N251" s="147" t="n">
        <v>38.78</v>
      </c>
      <c r="O251" s="147" t="inlineStr">
        <is>
          <t>Illumina Truseq文库</t>
        </is>
      </c>
      <c r="P251" s="147" t="inlineStr">
        <is>
          <t>未磷酸化</t>
        </is>
      </c>
      <c r="Q251" s="147" t="inlineStr">
        <is>
          <t>未环化</t>
        </is>
      </c>
      <c r="R251" s="147" t="inlineStr">
        <is>
          <t>A</t>
        </is>
      </c>
      <c r="S251" s="147" t="n"/>
    </row>
    <row r="252" ht="30" customHeight="1" s="76">
      <c r="A252" s="152" t="n"/>
      <c r="B252" s="144" t="inlineStr">
        <is>
          <t>HGC-Lib-26098322</t>
        </is>
      </c>
      <c r="C252" s="144" t="n">
        <v>34.41</v>
      </c>
      <c r="D252" s="145" t="n">
        <v>5</v>
      </c>
      <c r="E252" s="146">
        <f>ROUND(D252/SUM(D204:D263)*IF(C252="",50,50.0),3)</f>
        <v/>
      </c>
      <c r="F252" s="146">
        <f>ROUND(E252/C252*G264,3)</f>
        <v/>
      </c>
      <c r="G252" s="144" t="inlineStr">
        <is>
          <t>有参转录组（RNA-seq）</t>
        </is>
      </c>
      <c r="H252" s="144" t="inlineStr">
        <is>
          <t>广州基迪奥科技服务有限公司</t>
        </is>
      </c>
      <c r="I252" s="146" t="n"/>
      <c r="J252" s="144" t="n"/>
      <c r="K252" s="154" t="inlineStr">
        <is>
          <t>26.7.29-3-夜_F8</t>
        </is>
      </c>
      <c r="L252" s="147" t="n"/>
      <c r="M252" s="147" t="n"/>
      <c r="N252" s="147" t="n">
        <v>34.41</v>
      </c>
      <c r="O252" s="147" t="inlineStr">
        <is>
          <t>Illumina Truseq文库</t>
        </is>
      </c>
      <c r="P252" s="147" t="inlineStr">
        <is>
          <t>未磷酸化</t>
        </is>
      </c>
      <c r="Q252" s="147" t="inlineStr">
        <is>
          <t>未环化</t>
        </is>
      </c>
      <c r="R252" s="147" t="inlineStr">
        <is>
          <t>A</t>
        </is>
      </c>
      <c r="S252" s="147" t="n"/>
    </row>
    <row r="253" ht="30" customHeight="1" s="76">
      <c r="A253" s="152" t="n"/>
      <c r="B253" s="144" t="inlineStr">
        <is>
          <t>HGC-Lib-26098323</t>
        </is>
      </c>
      <c r="C253" s="144" t="n">
        <v>42.6</v>
      </c>
      <c r="D253" s="145" t="n">
        <v>5</v>
      </c>
      <c r="E253" s="146">
        <f>ROUND(D253/SUM(D204:D263)*IF(C253="",50,50.0),3)</f>
        <v/>
      </c>
      <c r="F253" s="146">
        <f>ROUND(E253/C253*G264,3)</f>
        <v/>
      </c>
      <c r="G253" s="144" t="inlineStr">
        <is>
          <t>有参转录组（RNA-seq）</t>
        </is>
      </c>
      <c r="H253" s="144" t="inlineStr">
        <is>
          <t>广州基迪奥科技服务有限公司</t>
        </is>
      </c>
      <c r="I253" s="146" t="n"/>
      <c r="J253" s="144" t="n"/>
      <c r="K253" s="154" t="inlineStr">
        <is>
          <t>26.7.29-3-夜_F9</t>
        </is>
      </c>
      <c r="L253" s="147" t="n"/>
      <c r="M253" s="147" t="n"/>
      <c r="N253" s="147" t="n">
        <v>42.6</v>
      </c>
      <c r="O253" s="147" t="inlineStr">
        <is>
          <t>Illumina Truseq文库</t>
        </is>
      </c>
      <c r="P253" s="147" t="inlineStr">
        <is>
          <t>未磷酸化</t>
        </is>
      </c>
      <c r="Q253" s="147" t="inlineStr">
        <is>
          <t>未环化</t>
        </is>
      </c>
      <c r="R253" s="147" t="inlineStr">
        <is>
          <t>A</t>
        </is>
      </c>
      <c r="S253" s="147" t="n"/>
    </row>
    <row r="254" ht="30" customHeight="1" s="76">
      <c r="A254" s="152" t="n"/>
      <c r="B254" s="144" t="inlineStr">
        <is>
          <t>HGC-Lib-26098324</t>
        </is>
      </c>
      <c r="C254" s="144" t="n">
        <v>25.87</v>
      </c>
      <c r="D254" s="145" t="n">
        <v>5</v>
      </c>
      <c r="E254" s="146">
        <f>ROUND(D254/SUM(D204:D263)*IF(C254="",50,50.0),3)</f>
        <v/>
      </c>
      <c r="F254" s="146">
        <f>ROUND(E254/C254*G264,3)</f>
        <v/>
      </c>
      <c r="G254" s="144" t="inlineStr">
        <is>
          <t>有参转录组（RNA-seq）</t>
        </is>
      </c>
      <c r="H254" s="144" t="inlineStr">
        <is>
          <t>广州基迪奥科技服务有限公司</t>
        </is>
      </c>
      <c r="I254" s="146" t="n"/>
      <c r="J254" s="144" t="n"/>
      <c r="K254" s="154" t="inlineStr">
        <is>
          <t>26.7.29-3-夜_F10</t>
        </is>
      </c>
      <c r="L254" s="147" t="n"/>
      <c r="M254" s="147" t="n"/>
      <c r="N254" s="147" t="n">
        <v>25.87</v>
      </c>
      <c r="O254" s="147" t="inlineStr">
        <is>
          <t>Illumina Truseq文库</t>
        </is>
      </c>
      <c r="P254" s="147" t="inlineStr">
        <is>
          <t>未磷酸化</t>
        </is>
      </c>
      <c r="Q254" s="147" t="inlineStr">
        <is>
          <t>未环化</t>
        </is>
      </c>
      <c r="R254" s="147" t="inlineStr">
        <is>
          <t>A</t>
        </is>
      </c>
      <c r="S254" s="147" t="n"/>
    </row>
    <row r="255" ht="30" customHeight="1" s="76">
      <c r="A255" s="152" t="n"/>
      <c r="B255" s="144" t="inlineStr">
        <is>
          <t>HGC-Lib-26098326</t>
        </is>
      </c>
      <c r="C255" s="144" t="n">
        <v>29.27</v>
      </c>
      <c r="D255" s="145" t="n">
        <v>5</v>
      </c>
      <c r="E255" s="146">
        <f>ROUND(D255/SUM(D204:D263)*IF(C255="",50,50.0),3)</f>
        <v/>
      </c>
      <c r="F255" s="146">
        <f>ROUND(E255/C255*G264,3)</f>
        <v/>
      </c>
      <c r="G255" s="144" t="inlineStr">
        <is>
          <t>有参转录组（RNA-seq）</t>
        </is>
      </c>
      <c r="H255" s="144" t="inlineStr">
        <is>
          <t>广州基迪奥科技服务有限公司</t>
        </is>
      </c>
      <c r="I255" s="146" t="n"/>
      <c r="J255" s="144" t="n"/>
      <c r="K255" s="154" t="inlineStr">
        <is>
          <t>26.7.29-3-夜_F12</t>
        </is>
      </c>
      <c r="L255" s="147" t="n"/>
      <c r="M255" s="147" t="n"/>
      <c r="N255" s="147" t="n">
        <v>29.27</v>
      </c>
      <c r="O255" s="147" t="inlineStr">
        <is>
          <t>Illumina Truseq文库</t>
        </is>
      </c>
      <c r="P255" s="147" t="inlineStr">
        <is>
          <t>未磷酸化</t>
        </is>
      </c>
      <c r="Q255" s="147" t="inlineStr">
        <is>
          <t>未环化</t>
        </is>
      </c>
      <c r="R255" s="147" t="inlineStr">
        <is>
          <t>A</t>
        </is>
      </c>
      <c r="S255" s="147" t="n"/>
    </row>
    <row r="256" ht="30" customHeight="1" s="76">
      <c r="A256" s="152" t="n"/>
      <c r="B256" s="144" t="inlineStr">
        <is>
          <t>HGC-Lib-26098327</t>
        </is>
      </c>
      <c r="C256" s="144" t="n">
        <v>30.67</v>
      </c>
      <c r="D256" s="145" t="n">
        <v>5</v>
      </c>
      <c r="E256" s="146">
        <f>ROUND(D256/SUM(D204:D263)*IF(C256="",50,50.0),3)</f>
        <v/>
      </c>
      <c r="F256" s="146">
        <f>ROUND(E256/C256*G264,3)</f>
        <v/>
      </c>
      <c r="G256" s="144" t="inlineStr">
        <is>
          <t>有参转录组（RNA-seq）</t>
        </is>
      </c>
      <c r="H256" s="144" t="inlineStr">
        <is>
          <t>广州基迪奥科技服务有限公司</t>
        </is>
      </c>
      <c r="I256" s="146" t="n"/>
      <c r="J256" s="144" t="n"/>
      <c r="K256" s="154" t="inlineStr">
        <is>
          <t>26.7.29-3-夜_G1</t>
        </is>
      </c>
      <c r="L256" s="147" t="n"/>
      <c r="M256" s="147" t="n"/>
      <c r="N256" s="147" t="n">
        <v>30.67</v>
      </c>
      <c r="O256" s="147" t="inlineStr">
        <is>
          <t>Illumina Truseq文库</t>
        </is>
      </c>
      <c r="P256" s="147" t="inlineStr">
        <is>
          <t>未磷酸化</t>
        </is>
      </c>
      <c r="Q256" s="147" t="inlineStr">
        <is>
          <t>未环化</t>
        </is>
      </c>
      <c r="R256" s="147" t="inlineStr">
        <is>
          <t>A</t>
        </is>
      </c>
      <c r="S256" s="147" t="n"/>
    </row>
    <row r="257" ht="30" customHeight="1" s="76">
      <c r="A257" s="152" t="n"/>
      <c r="B257" s="144" t="inlineStr">
        <is>
          <t>HGC-Lib-26098329</t>
        </is>
      </c>
      <c r="C257" s="144" t="n">
        <v>73.84999999999999</v>
      </c>
      <c r="D257" s="145" t="n">
        <v>5</v>
      </c>
      <c r="E257" s="146">
        <f>ROUND(D257/SUM(D204:D263)*IF(C257="",50,50.0),3)</f>
        <v/>
      </c>
      <c r="F257" s="146">
        <f>ROUND(E257/C257*G264,3)</f>
        <v/>
      </c>
      <c r="G257" s="144" t="inlineStr">
        <is>
          <t>有参转录组（RNA-seq）</t>
        </is>
      </c>
      <c r="H257" s="144" t="inlineStr">
        <is>
          <t>广州基迪奥科技服务有限公司</t>
        </is>
      </c>
      <c r="I257" s="146" t="n"/>
      <c r="J257" s="144" t="n"/>
      <c r="K257" s="154" t="inlineStr">
        <is>
          <t>26.7.29-3-夜_G3</t>
        </is>
      </c>
      <c r="L257" s="147" t="n"/>
      <c r="M257" s="147" t="n"/>
      <c r="N257" s="147" t="n">
        <v>73.84999999999999</v>
      </c>
      <c r="O257" s="147" t="inlineStr">
        <is>
          <t>Illumina Truseq文库</t>
        </is>
      </c>
      <c r="P257" s="147" t="inlineStr">
        <is>
          <t>未磷酸化</t>
        </is>
      </c>
      <c r="Q257" s="147" t="inlineStr">
        <is>
          <t>未环化</t>
        </is>
      </c>
      <c r="R257" s="147" t="inlineStr">
        <is>
          <t>A</t>
        </is>
      </c>
      <c r="S257" s="147" t="n"/>
    </row>
    <row r="258" ht="30" customHeight="1" s="76">
      <c r="A258" s="152" t="n"/>
      <c r="B258" s="144" t="inlineStr">
        <is>
          <t>HGC-Lib-26098330</t>
        </is>
      </c>
      <c r="C258" s="144" t="n">
        <v>79.72</v>
      </c>
      <c r="D258" s="145" t="n">
        <v>5</v>
      </c>
      <c r="E258" s="146">
        <f>ROUND(D258/SUM(D204:D263)*IF(C258="",50,50.0),3)</f>
        <v/>
      </c>
      <c r="F258" s="146">
        <f>ROUND(E258/C258*G264,3)</f>
        <v/>
      </c>
      <c r="G258" s="144" t="inlineStr">
        <is>
          <t>有参转录组（RNA-seq）</t>
        </is>
      </c>
      <c r="H258" s="144" t="inlineStr">
        <is>
          <t>广州基迪奥科技服务有限公司</t>
        </is>
      </c>
      <c r="I258" s="146" t="n"/>
      <c r="J258" s="144" t="n"/>
      <c r="K258" s="154" t="inlineStr">
        <is>
          <t>26.7.29-3-夜_G4</t>
        </is>
      </c>
      <c r="L258" s="147" t="n"/>
      <c r="M258" s="147" t="n"/>
      <c r="N258" s="147" t="n">
        <v>79.72</v>
      </c>
      <c r="O258" s="147" t="inlineStr">
        <is>
          <t>Illumina Truseq文库</t>
        </is>
      </c>
      <c r="P258" s="147" t="inlineStr">
        <is>
          <t>未磷酸化</t>
        </is>
      </c>
      <c r="Q258" s="147" t="inlineStr">
        <is>
          <t>未环化</t>
        </is>
      </c>
      <c r="R258" s="147" t="inlineStr">
        <is>
          <t>A</t>
        </is>
      </c>
      <c r="S258" s="147" t="n"/>
    </row>
    <row r="259" ht="30" customHeight="1" s="76">
      <c r="A259" s="152" t="n"/>
      <c r="B259" s="144" t="inlineStr">
        <is>
          <t>HGC-Lib-26098334</t>
        </is>
      </c>
      <c r="C259" s="144" t="n">
        <v>27.45</v>
      </c>
      <c r="D259" s="145" t="n">
        <v>5</v>
      </c>
      <c r="E259" s="146">
        <f>ROUND(D259/SUM(D204:D263)*IF(C259="",50,50.0),3)</f>
        <v/>
      </c>
      <c r="F259" s="146">
        <f>ROUND(E259/C259*G264,3)</f>
        <v/>
      </c>
      <c r="G259" s="144" t="inlineStr">
        <is>
          <t>有参转录组（RNA-seq）</t>
        </is>
      </c>
      <c r="H259" s="144" t="inlineStr">
        <is>
          <t>广州基迪奥科技服务有限公司</t>
        </is>
      </c>
      <c r="I259" s="146" t="n"/>
      <c r="J259" s="144" t="n"/>
      <c r="K259" s="154" t="inlineStr">
        <is>
          <t>26.7.29-3-夜_G8</t>
        </is>
      </c>
      <c r="L259" s="147" t="n"/>
      <c r="M259" s="147" t="n"/>
      <c r="N259" s="147" t="n">
        <v>27.45</v>
      </c>
      <c r="O259" s="147" t="inlineStr">
        <is>
          <t>Illumina Truseq文库</t>
        </is>
      </c>
      <c r="P259" s="147" t="inlineStr">
        <is>
          <t>未磷酸化</t>
        </is>
      </c>
      <c r="Q259" s="147" t="inlineStr">
        <is>
          <t>未环化</t>
        </is>
      </c>
      <c r="R259" s="147" t="inlineStr">
        <is>
          <t>A</t>
        </is>
      </c>
      <c r="S259" s="147" t="n"/>
    </row>
    <row r="260" ht="30" customHeight="1" s="76">
      <c r="A260" s="152" t="n"/>
      <c r="B260" s="144" t="inlineStr">
        <is>
          <t>HGC-Lib-26098335</t>
        </is>
      </c>
      <c r="C260" s="144" t="n">
        <v>38.29</v>
      </c>
      <c r="D260" s="145" t="n">
        <v>5</v>
      </c>
      <c r="E260" s="146">
        <f>ROUND(D260/SUM(D204:D263)*IF(C260="",50,50.0),3)</f>
        <v/>
      </c>
      <c r="F260" s="146">
        <f>ROUND(E260/C260*G264,3)</f>
        <v/>
      </c>
      <c r="G260" s="144" t="inlineStr">
        <is>
          <t>有参转录组（RNA-seq）</t>
        </is>
      </c>
      <c r="H260" s="144" t="inlineStr">
        <is>
          <t>广州基迪奥科技服务有限公司</t>
        </is>
      </c>
      <c r="I260" s="146" t="n"/>
      <c r="J260" s="144" t="n"/>
      <c r="K260" s="154" t="inlineStr">
        <is>
          <t>26.7.29-3-夜_G9</t>
        </is>
      </c>
      <c r="L260" s="147" t="n"/>
      <c r="M260" s="147" t="n"/>
      <c r="N260" s="147" t="n">
        <v>38.29</v>
      </c>
      <c r="O260" s="147" t="inlineStr">
        <is>
          <t>Illumina Truseq文库</t>
        </is>
      </c>
      <c r="P260" s="147" t="inlineStr">
        <is>
          <t>未磷酸化</t>
        </is>
      </c>
      <c r="Q260" s="147" t="inlineStr">
        <is>
          <t>未环化</t>
        </is>
      </c>
      <c r="R260" s="147" t="inlineStr">
        <is>
          <t>A</t>
        </is>
      </c>
      <c r="S260" s="147" t="n"/>
    </row>
    <row r="261" ht="30" customHeight="1" s="76">
      <c r="A261" s="152" t="n"/>
      <c r="B261" s="144" t="inlineStr">
        <is>
          <t>HGC-Lib-26098336</t>
        </is>
      </c>
      <c r="C261" s="144" t="n">
        <v>23.89</v>
      </c>
      <c r="D261" s="145" t="n">
        <v>5</v>
      </c>
      <c r="E261" s="146">
        <f>ROUND(D261/SUM(D204:D263)*IF(C261="",50,50.0),3)</f>
        <v/>
      </c>
      <c r="F261" s="146">
        <f>ROUND(E261/C261*G264,3)</f>
        <v/>
      </c>
      <c r="G261" s="144" t="inlineStr">
        <is>
          <t>有参转录组（RNA-seq）</t>
        </is>
      </c>
      <c r="H261" s="144" t="inlineStr">
        <is>
          <t>广州基迪奥科技服务有限公司</t>
        </is>
      </c>
      <c r="I261" s="146" t="n"/>
      <c r="J261" s="144" t="n"/>
      <c r="K261" s="154" t="inlineStr">
        <is>
          <t>26.7.29-3-夜_G10</t>
        </is>
      </c>
      <c r="L261" s="147" t="n"/>
      <c r="M261" s="147" t="n"/>
      <c r="N261" s="147" t="n">
        <v>23.89</v>
      </c>
      <c r="O261" s="147" t="inlineStr">
        <is>
          <t>Illumina Truseq文库</t>
        </is>
      </c>
      <c r="P261" s="147" t="inlineStr">
        <is>
          <t>未磷酸化</t>
        </is>
      </c>
      <c r="Q261" s="147" t="inlineStr">
        <is>
          <t>未环化</t>
        </is>
      </c>
      <c r="R261" s="147" t="inlineStr">
        <is>
          <t>A</t>
        </is>
      </c>
      <c r="S261" s="147" t="n"/>
    </row>
    <row r="262" ht="30" customHeight="1" s="76">
      <c r="A262" s="152" t="n"/>
      <c r="B262" s="144" t="inlineStr">
        <is>
          <t>HGC-Lib-26098338</t>
        </is>
      </c>
      <c r="C262" s="144" t="n">
        <v>28.54</v>
      </c>
      <c r="D262" s="145" t="n">
        <v>5</v>
      </c>
      <c r="E262" s="146">
        <f>ROUND(D262/SUM(D204:D263)*IF(C262="",50,50.0),3)</f>
        <v/>
      </c>
      <c r="F262" s="146">
        <f>ROUND(E262/C262*G264,3)</f>
        <v/>
      </c>
      <c r="G262" s="144" t="inlineStr">
        <is>
          <t>有参转录组（RNA-seq）</t>
        </is>
      </c>
      <c r="H262" s="144" t="inlineStr">
        <is>
          <t>广州基迪奥科技服务有限公司</t>
        </is>
      </c>
      <c r="I262" s="146" t="n"/>
      <c r="J262" s="144" t="n"/>
      <c r="K262" s="154" t="inlineStr">
        <is>
          <t>26.7.29-3-夜_G12</t>
        </is>
      </c>
      <c r="L262" s="147" t="n"/>
      <c r="M262" s="147" t="n"/>
      <c r="N262" s="147" t="n">
        <v>28.54</v>
      </c>
      <c r="O262" s="147" t="inlineStr">
        <is>
          <t>Illumina Truseq文库</t>
        </is>
      </c>
      <c r="P262" s="147" t="inlineStr">
        <is>
          <t>未磷酸化</t>
        </is>
      </c>
      <c r="Q262" s="147" t="inlineStr">
        <is>
          <t>未环化</t>
        </is>
      </c>
      <c r="R262" s="147" t="inlineStr">
        <is>
          <t>A</t>
        </is>
      </c>
      <c r="S262" s="147" t="n"/>
    </row>
    <row r="263" ht="30" customHeight="1" s="76">
      <c r="A263" s="153" t="n"/>
      <c r="B263" s="144" t="inlineStr">
        <is>
          <t>HGC-Lib-26098340</t>
        </is>
      </c>
      <c r="C263" s="144" t="n">
        <v>20.5</v>
      </c>
      <c r="D263" s="145" t="n">
        <v>5</v>
      </c>
      <c r="E263" s="146">
        <f>ROUND(D263/SUM(D204:D263)*IF(C263="",50,50.0),3)</f>
        <v/>
      </c>
      <c r="F263" s="146">
        <f>ROUND(E263/C263*G264,3)</f>
        <v/>
      </c>
      <c r="G263" s="144" t="inlineStr">
        <is>
          <t>有参转录组（RNA-seq）</t>
        </is>
      </c>
      <c r="H263" s="144" t="inlineStr">
        <is>
          <t>广州基迪奥科技服务有限公司</t>
        </is>
      </c>
      <c r="I263" s="146" t="n"/>
      <c r="J263" s="144" t="n"/>
      <c r="K263" s="154" t="inlineStr">
        <is>
          <t>26.7.29-3-夜_H2</t>
        </is>
      </c>
      <c r="L263" s="147" t="n"/>
      <c r="M263" s="147" t="n"/>
      <c r="N263" s="147" t="n">
        <v>20.5</v>
      </c>
      <c r="O263" s="147" t="inlineStr">
        <is>
          <t>Illumina Truseq文库</t>
        </is>
      </c>
      <c r="P263" s="147" t="inlineStr">
        <is>
          <t>未磷酸化</t>
        </is>
      </c>
      <c r="Q263" s="147" t="inlineStr">
        <is>
          <t>未环化</t>
        </is>
      </c>
      <c r="R263" s="147" t="inlineStr">
        <is>
          <t>A</t>
        </is>
      </c>
      <c r="S263" s="147" t="n"/>
    </row>
    <row r="264" ht="30" customHeight="1" s="76">
      <c r="A264" s="148" t="n"/>
      <c r="B264" s="147" t="n">
        <v>60</v>
      </c>
      <c r="C264" s="148" t="n"/>
      <c r="D264" s="149">
        <f>ROUND(SUM(D204:D263),2)</f>
        <v/>
      </c>
      <c r="E264" s="150">
        <f>ROUND(SUM(E204:E263),3)</f>
        <v/>
      </c>
      <c r="F264" s="150">
        <f>IF(G264&gt;1,ROUND(SUM(F204:F263)/G264*2,3),ROUND(SUM(F204:F263),3))</f>
        <v/>
      </c>
      <c r="G264" s="147" t="n">
        <v>112</v>
      </c>
      <c r="H264" s="148" t="n"/>
      <c r="I264" s="151">
        <f>ROUND(20-F264,3)</f>
        <v/>
      </c>
      <c r="J264" s="148" t="n"/>
      <c r="K264" s="148" t="n"/>
      <c r="L264" s="148" t="n"/>
      <c r="M264" s="147">
        <f>AVERAGE(M204:M263)</f>
        <v/>
      </c>
      <c r="N264" s="148" t="n"/>
      <c r="O264" s="148" t="n"/>
      <c r="P264" s="148" t="n"/>
      <c r="Q264" s="148" t="n"/>
      <c r="R264" s="148" t="n"/>
      <c r="S264" s="148" t="n"/>
    </row>
    <row r="265" ht="30" customHeight="1" s="76">
      <c r="A265" s="144" t="inlineStr">
        <is>
          <t>D4</t>
        </is>
      </c>
      <c r="B265" s="144" t="inlineStr">
        <is>
          <t>HGC-Lib-26098319</t>
        </is>
      </c>
      <c r="C265" s="144" t="n">
        <v>15.41</v>
      </c>
      <c r="D265" s="145" t="n">
        <v>5</v>
      </c>
      <c r="E265" s="146">
        <f>ROUND(D265/SUM(D265:D274)*IF(C265="",50,50.0),3)</f>
        <v/>
      </c>
      <c r="F265" s="146">
        <f>ROUND(E265/C265*G275,3)</f>
        <v/>
      </c>
      <c r="G265" s="144" t="inlineStr">
        <is>
          <t>有参转录组（RNA-seq）</t>
        </is>
      </c>
      <c r="H265" s="144" t="inlineStr">
        <is>
          <t>广州基迪奥科技服务有限公司</t>
        </is>
      </c>
      <c r="I265" s="146" t="n"/>
      <c r="J265" s="144" t="n"/>
      <c r="K265" s="144" t="inlineStr">
        <is>
          <t>26.7.29-3-夜_F5</t>
        </is>
      </c>
      <c r="L265" s="147" t="n"/>
      <c r="M265" s="147" t="n"/>
      <c r="N265" s="147" t="n">
        <v>15.41</v>
      </c>
      <c r="O265" s="147" t="inlineStr">
        <is>
          <t>Illumina Truseq文库</t>
        </is>
      </c>
      <c r="P265" s="147" t="inlineStr">
        <is>
          <t>未磷酸化</t>
        </is>
      </c>
      <c r="Q265" s="147" t="inlineStr">
        <is>
          <t>未环化</t>
        </is>
      </c>
      <c r="R265" s="147" t="inlineStr">
        <is>
          <t>A</t>
        </is>
      </c>
      <c r="S265" s="147" t="n"/>
    </row>
    <row r="266" ht="30" customHeight="1" s="76">
      <c r="A266" s="152" t="n"/>
      <c r="B266" s="144" t="inlineStr">
        <is>
          <t>HGC-Lib-26098321</t>
        </is>
      </c>
      <c r="C266" s="144" t="n">
        <v>7.24</v>
      </c>
      <c r="D266" s="145" t="n">
        <v>5</v>
      </c>
      <c r="E266" s="146">
        <f>ROUND(D266/SUM(D265:D274)*IF(C266="",50,50.0),3)</f>
        <v/>
      </c>
      <c r="F266" s="146">
        <f>ROUND(E266/C266*G275,3)</f>
        <v/>
      </c>
      <c r="G266" s="144" t="inlineStr">
        <is>
          <t>有参转录组（RNA-seq）</t>
        </is>
      </c>
      <c r="H266" s="144" t="inlineStr">
        <is>
          <t>广州基迪奥科技服务有限公司</t>
        </is>
      </c>
      <c r="I266" s="146" t="n"/>
      <c r="J266" s="144" t="n"/>
      <c r="K266" s="144" t="inlineStr">
        <is>
          <t>26.7.29-3-夜_F7</t>
        </is>
      </c>
      <c r="L266" s="147" t="n"/>
      <c r="M266" s="147" t="n"/>
      <c r="N266" s="147" t="n">
        <v>7.24</v>
      </c>
      <c r="O266" s="147" t="inlineStr">
        <is>
          <t>Illumina Truseq文库</t>
        </is>
      </c>
      <c r="P266" s="147" t="inlineStr">
        <is>
          <t>未磷酸化</t>
        </is>
      </c>
      <c r="Q266" s="147" t="inlineStr">
        <is>
          <t>未环化</t>
        </is>
      </c>
      <c r="R266" s="147" t="inlineStr">
        <is>
          <t>A</t>
        </is>
      </c>
      <c r="S266" s="147" t="n"/>
    </row>
    <row r="267" ht="30" customHeight="1" s="76">
      <c r="A267" s="152" t="n"/>
      <c r="B267" s="144" t="inlineStr">
        <is>
          <t>HGC-Lib-26098325</t>
        </is>
      </c>
      <c r="C267" s="144" t="n">
        <v>7.08</v>
      </c>
      <c r="D267" s="145" t="n">
        <v>5</v>
      </c>
      <c r="E267" s="146">
        <f>ROUND(D267/SUM(D265:D274)*IF(C267="",50,50.0),3)</f>
        <v/>
      </c>
      <c r="F267" s="146">
        <f>ROUND(E267/C267*G275,3)</f>
        <v/>
      </c>
      <c r="G267" s="144" t="inlineStr">
        <is>
          <t>有参转录组（RNA-seq）</t>
        </is>
      </c>
      <c r="H267" s="144" t="inlineStr">
        <is>
          <t>广州基迪奥科技服务有限公司</t>
        </is>
      </c>
      <c r="I267" s="146" t="n"/>
      <c r="J267" s="144" t="n"/>
      <c r="K267" s="144" t="inlineStr">
        <is>
          <t>26.7.29-3-夜_F11</t>
        </is>
      </c>
      <c r="L267" s="147" t="n"/>
      <c r="M267" s="147" t="n"/>
      <c r="N267" s="147" t="n">
        <v>7.08</v>
      </c>
      <c r="O267" s="147" t="inlineStr">
        <is>
          <t>Illumina Truseq文库</t>
        </is>
      </c>
      <c r="P267" s="147" t="inlineStr">
        <is>
          <t>未磷酸化</t>
        </is>
      </c>
      <c r="Q267" s="147" t="inlineStr">
        <is>
          <t>未环化</t>
        </is>
      </c>
      <c r="R267" s="147" t="inlineStr">
        <is>
          <t>A</t>
        </is>
      </c>
      <c r="S267" s="147" t="n"/>
    </row>
    <row r="268" ht="30" customHeight="1" s="76">
      <c r="A268" s="152" t="n"/>
      <c r="B268" s="144" t="inlineStr">
        <is>
          <t>HGC-Lib-26098328</t>
        </is>
      </c>
      <c r="C268" s="144" t="n">
        <v>4.81</v>
      </c>
      <c r="D268" s="145" t="n">
        <v>5</v>
      </c>
      <c r="E268" s="146">
        <f>ROUND(D268/SUM(D265:D274)*IF(C268="",50,50.0),3)</f>
        <v/>
      </c>
      <c r="F268" s="146">
        <f>ROUND(E268/C268*G275,3)</f>
        <v/>
      </c>
      <c r="G268" s="144" t="inlineStr">
        <is>
          <t>有参转录组（RNA-seq）</t>
        </is>
      </c>
      <c r="H268" s="144" t="inlineStr">
        <is>
          <t>广州基迪奥科技服务有限公司</t>
        </is>
      </c>
      <c r="I268" s="146" t="n"/>
      <c r="J268" s="144" t="n"/>
      <c r="K268" s="144" t="inlineStr">
        <is>
          <t>26.7.29-3-夜_G2</t>
        </is>
      </c>
      <c r="L268" s="147" t="n"/>
      <c r="M268" s="147" t="n"/>
      <c r="N268" s="147" t="n">
        <v>4.81</v>
      </c>
      <c r="O268" s="147" t="inlineStr">
        <is>
          <t>Illumina Truseq文库</t>
        </is>
      </c>
      <c r="P268" s="147" t="inlineStr">
        <is>
          <t>未磷酸化</t>
        </is>
      </c>
      <c r="Q268" s="147" t="inlineStr">
        <is>
          <t>未环化</t>
        </is>
      </c>
      <c r="R268" s="147" t="inlineStr">
        <is>
          <t>A</t>
        </is>
      </c>
      <c r="S268" s="147" t="n"/>
    </row>
    <row r="269" ht="30" customHeight="1" s="76">
      <c r="A269" s="152" t="n"/>
      <c r="B269" s="144" t="inlineStr">
        <is>
          <t>HGC-Lib-26098331</t>
        </is>
      </c>
      <c r="C269" s="144" t="n">
        <v>8.07</v>
      </c>
      <c r="D269" s="145" t="n">
        <v>5</v>
      </c>
      <c r="E269" s="146">
        <f>ROUND(D269/SUM(D265:D274)*IF(C269="",50,50.0),3)</f>
        <v/>
      </c>
      <c r="F269" s="146">
        <f>ROUND(E269/C269*G275,3)</f>
        <v/>
      </c>
      <c r="G269" s="144" t="inlineStr">
        <is>
          <t>有参转录组（RNA-seq）</t>
        </is>
      </c>
      <c r="H269" s="144" t="inlineStr">
        <is>
          <t>广州基迪奥科技服务有限公司</t>
        </is>
      </c>
      <c r="I269" s="146" t="n"/>
      <c r="J269" s="144" t="n"/>
      <c r="K269" s="144" t="inlineStr">
        <is>
          <t>26.7.29-3-夜_G5</t>
        </is>
      </c>
      <c r="L269" s="147" t="n"/>
      <c r="M269" s="147" t="n"/>
      <c r="N269" s="147" t="n">
        <v>8.07</v>
      </c>
      <c r="O269" s="147" t="inlineStr">
        <is>
          <t>Illumina Truseq文库</t>
        </is>
      </c>
      <c r="P269" s="147" t="inlineStr">
        <is>
          <t>未磷酸化</t>
        </is>
      </c>
      <c r="Q269" s="147" t="inlineStr">
        <is>
          <t>未环化</t>
        </is>
      </c>
      <c r="R269" s="147" t="inlineStr">
        <is>
          <t>A</t>
        </is>
      </c>
      <c r="S269" s="147" t="n"/>
    </row>
    <row r="270" ht="30" customHeight="1" s="76">
      <c r="A270" s="152" t="n"/>
      <c r="B270" s="144" t="inlineStr">
        <is>
          <t>HGC-Lib-26098332</t>
        </is>
      </c>
      <c r="C270" s="144" t="n">
        <v>9.550000000000001</v>
      </c>
      <c r="D270" s="145" t="n">
        <v>5</v>
      </c>
      <c r="E270" s="146">
        <f>ROUND(D270/SUM(D265:D274)*IF(C270="",50,50.0),3)</f>
        <v/>
      </c>
      <c r="F270" s="146">
        <f>ROUND(E270/C270*G275,3)</f>
        <v/>
      </c>
      <c r="G270" s="144" t="inlineStr">
        <is>
          <t>有参转录组（RNA-seq）</t>
        </is>
      </c>
      <c r="H270" s="144" t="inlineStr">
        <is>
          <t>广州基迪奥科技服务有限公司</t>
        </is>
      </c>
      <c r="I270" s="146" t="n"/>
      <c r="J270" s="144" t="n"/>
      <c r="K270" s="144" t="inlineStr">
        <is>
          <t>26.7.29-3-夜_G6</t>
        </is>
      </c>
      <c r="L270" s="147" t="n"/>
      <c r="M270" s="147" t="n"/>
      <c r="N270" s="147" t="n">
        <v>9.550000000000001</v>
      </c>
      <c r="O270" s="147" t="inlineStr">
        <is>
          <t>Illumina Truseq文库</t>
        </is>
      </c>
      <c r="P270" s="147" t="inlineStr">
        <is>
          <t>未磷酸化</t>
        </is>
      </c>
      <c r="Q270" s="147" t="inlineStr">
        <is>
          <t>未环化</t>
        </is>
      </c>
      <c r="R270" s="147" t="inlineStr">
        <is>
          <t>A</t>
        </is>
      </c>
      <c r="S270" s="147" t="n"/>
    </row>
    <row r="271" ht="30" customHeight="1" s="76">
      <c r="A271" s="152" t="n"/>
      <c r="B271" s="144" t="inlineStr">
        <is>
          <t>HGC-Lib-26098333</t>
        </is>
      </c>
      <c r="C271" s="144" t="n">
        <v>10.53</v>
      </c>
      <c r="D271" s="145" t="n">
        <v>5</v>
      </c>
      <c r="E271" s="146">
        <f>ROUND(D271/SUM(D265:D274)*IF(C271="",50,50.0),3)</f>
        <v/>
      </c>
      <c r="F271" s="146">
        <f>ROUND(E271/C271*G275,3)</f>
        <v/>
      </c>
      <c r="G271" s="144" t="inlineStr">
        <is>
          <t>有参转录组（RNA-seq）</t>
        </is>
      </c>
      <c r="H271" s="144" t="inlineStr">
        <is>
          <t>广州基迪奥科技服务有限公司</t>
        </is>
      </c>
      <c r="I271" s="146" t="n"/>
      <c r="J271" s="144" t="n"/>
      <c r="K271" s="144" t="inlineStr">
        <is>
          <t>26.7.29-3-夜_G7</t>
        </is>
      </c>
      <c r="L271" s="147" t="n"/>
      <c r="M271" s="147" t="n"/>
      <c r="N271" s="147" t="n">
        <v>10.53</v>
      </c>
      <c r="O271" s="147" t="inlineStr">
        <is>
          <t>Illumina Truseq文库</t>
        </is>
      </c>
      <c r="P271" s="147" t="inlineStr">
        <is>
          <t>未磷酸化</t>
        </is>
      </c>
      <c r="Q271" s="147" t="inlineStr">
        <is>
          <t>未环化</t>
        </is>
      </c>
      <c r="R271" s="147" t="inlineStr">
        <is>
          <t>A</t>
        </is>
      </c>
      <c r="S271" s="147" t="n"/>
    </row>
    <row r="272" ht="30" customHeight="1" s="76">
      <c r="A272" s="152" t="n"/>
      <c r="B272" s="144" t="inlineStr">
        <is>
          <t>HGC-Lib-26098337</t>
        </is>
      </c>
      <c r="C272" s="144" t="n">
        <v>13.58</v>
      </c>
      <c r="D272" s="145" t="n">
        <v>5</v>
      </c>
      <c r="E272" s="146">
        <f>ROUND(D272/SUM(D265:D274)*IF(C272="",50,50.0),3)</f>
        <v/>
      </c>
      <c r="F272" s="146">
        <f>ROUND(E272/C272*G275,3)</f>
        <v/>
      </c>
      <c r="G272" s="144" t="inlineStr">
        <is>
          <t>有参转录组（RNA-seq）</t>
        </is>
      </c>
      <c r="H272" s="144" t="inlineStr">
        <is>
          <t>广州基迪奥科技服务有限公司</t>
        </is>
      </c>
      <c r="I272" s="146" t="n"/>
      <c r="J272" s="144" t="n"/>
      <c r="K272" s="144" t="inlineStr">
        <is>
          <t>26.7.29-3-夜_G11</t>
        </is>
      </c>
      <c r="L272" s="147" t="n"/>
      <c r="M272" s="147" t="n"/>
      <c r="N272" s="147" t="n">
        <v>13.58</v>
      </c>
      <c r="O272" s="147" t="inlineStr">
        <is>
          <t>Illumina Truseq文库</t>
        </is>
      </c>
      <c r="P272" s="147" t="inlineStr">
        <is>
          <t>未磷酸化</t>
        </is>
      </c>
      <c r="Q272" s="147" t="inlineStr">
        <is>
          <t>未环化</t>
        </is>
      </c>
      <c r="R272" s="147" t="inlineStr">
        <is>
          <t>A</t>
        </is>
      </c>
      <c r="S272" s="147" t="n"/>
    </row>
    <row r="273" ht="30" customHeight="1" s="76">
      <c r="A273" s="152" t="n"/>
      <c r="B273" s="144" t="inlineStr">
        <is>
          <t>HGC-Lib-26098339</t>
        </is>
      </c>
      <c r="C273" s="144" t="n">
        <v>15.42</v>
      </c>
      <c r="D273" s="145" t="n">
        <v>5</v>
      </c>
      <c r="E273" s="146">
        <f>ROUND(D273/SUM(D265:D274)*IF(C273="",50,50.0),3)</f>
        <v/>
      </c>
      <c r="F273" s="146">
        <f>ROUND(E273/C273*G275,3)</f>
        <v/>
      </c>
      <c r="G273" s="144" t="inlineStr">
        <is>
          <t>有参转录组（RNA-seq）</t>
        </is>
      </c>
      <c r="H273" s="144" t="inlineStr">
        <is>
          <t>广州基迪奥科技服务有限公司</t>
        </is>
      </c>
      <c r="I273" s="146" t="n"/>
      <c r="J273" s="144" t="n"/>
      <c r="K273" s="144" t="inlineStr">
        <is>
          <t>26.7.29-3-夜_H1</t>
        </is>
      </c>
      <c r="L273" s="147" t="n"/>
      <c r="M273" s="147" t="n"/>
      <c r="N273" s="147" t="n">
        <v>15.42</v>
      </c>
      <c r="O273" s="147" t="inlineStr">
        <is>
          <t>Illumina Truseq文库</t>
        </is>
      </c>
      <c r="P273" s="147" t="inlineStr">
        <is>
          <t>未磷酸化</t>
        </is>
      </c>
      <c r="Q273" s="147" t="inlineStr">
        <is>
          <t>未环化</t>
        </is>
      </c>
      <c r="R273" s="147" t="inlineStr">
        <is>
          <t>A</t>
        </is>
      </c>
      <c r="S273" s="147" t="n"/>
    </row>
    <row r="274" ht="30" customHeight="1" s="76">
      <c r="A274" s="153" t="n"/>
      <c r="B274" s="144" t="inlineStr">
        <is>
          <t>HGC-Lib-26098341</t>
        </is>
      </c>
      <c r="C274" s="144" t="n">
        <v>5.23</v>
      </c>
      <c r="D274" s="145" t="n">
        <v>5</v>
      </c>
      <c r="E274" s="146">
        <f>ROUND(D274/SUM(D265:D274)*IF(C274="",50,50.0),3)</f>
        <v/>
      </c>
      <c r="F274" s="146">
        <f>ROUND(E274/C274*G275,3)</f>
        <v/>
      </c>
      <c r="G274" s="144" t="inlineStr">
        <is>
          <t>有参转录组（RNA-seq）</t>
        </is>
      </c>
      <c r="H274" s="144" t="inlineStr">
        <is>
          <t>广州基迪奥科技服务有限公司</t>
        </is>
      </c>
      <c r="I274" s="146" t="n"/>
      <c r="J274" s="144" t="n"/>
      <c r="K274" s="144" t="inlineStr">
        <is>
          <t>26.7.29-3-夜_H3</t>
        </is>
      </c>
      <c r="L274" s="147" t="n"/>
      <c r="M274" s="147" t="n"/>
      <c r="N274" s="147" t="n">
        <v>5.23</v>
      </c>
      <c r="O274" s="147" t="inlineStr">
        <is>
          <t>Illumina Truseq文库</t>
        </is>
      </c>
      <c r="P274" s="147" t="inlineStr">
        <is>
          <t>未磷酸化</t>
        </is>
      </c>
      <c r="Q274" s="147" t="inlineStr">
        <is>
          <t>未环化</t>
        </is>
      </c>
      <c r="R274" s="147" t="inlineStr">
        <is>
          <t>A</t>
        </is>
      </c>
      <c r="S274" s="147" t="n"/>
    </row>
    <row r="275" ht="30" customHeight="1" s="76">
      <c r="A275" s="148" t="n"/>
      <c r="B275" s="147" t="n">
        <v>10</v>
      </c>
      <c r="C275" s="148" t="n"/>
      <c r="D275" s="149">
        <f>ROUND(SUM(D265:D274),2)</f>
        <v/>
      </c>
      <c r="E275" s="150">
        <f>ROUND(SUM(E265:E274),3)</f>
        <v/>
      </c>
      <c r="F275" s="150">
        <f>IF(G275&gt;1,ROUND(SUM(F265:F274)/G275*2,3),ROUND(SUM(F265:F274),3))</f>
        <v/>
      </c>
      <c r="G275" s="147" t="n">
        <v>4</v>
      </c>
      <c r="H275" s="148" t="n"/>
      <c r="I275" s="151">
        <f>ROUND(20-F275,3)</f>
        <v/>
      </c>
      <c r="J275" s="148" t="n"/>
      <c r="K275" s="148" t="n"/>
      <c r="L275" s="148" t="n"/>
      <c r="M275" s="147">
        <f>AVERAGE(M265:M274)</f>
        <v/>
      </c>
      <c r="N275" s="148" t="n"/>
      <c r="O275" s="148" t="n"/>
      <c r="P275" s="148" t="n"/>
      <c r="Q275" s="148" t="n"/>
      <c r="R275" s="148" t="n"/>
      <c r="S275" s="148" t="n"/>
    </row>
    <row r="276" ht="30" customHeight="1" s="76">
      <c r="A276" s="144" t="inlineStr">
        <is>
          <t>D5</t>
        </is>
      </c>
      <c r="B276" s="144" t="inlineStr">
        <is>
          <t>HGC-Lib-26098976</t>
        </is>
      </c>
      <c r="C276" s="144" t="n">
        <v>14.6</v>
      </c>
      <c r="D276" s="145" t="n">
        <v>20</v>
      </c>
      <c r="E276" s="146">
        <f>ROUND(D276/SUM(D276:D279)*IF(C276="",50,50.0),3)</f>
        <v/>
      </c>
      <c r="F276" s="146">
        <f>ROUND(E276/C276*G280,3)</f>
        <v/>
      </c>
      <c r="G276" s="144" t="inlineStr">
        <is>
          <t>其他</t>
        </is>
      </c>
      <c r="H276" s="144" t="inlineStr">
        <is>
          <t>广州新蓝基因科技有限公司</t>
        </is>
      </c>
      <c r="I276" s="146" t="n"/>
      <c r="J276" s="144" t="n"/>
      <c r="K276" s="144" t="n"/>
      <c r="L276" s="147" t="n"/>
      <c r="M276" s="147" t="n">
        <v>509</v>
      </c>
      <c r="N276" s="147" t="n">
        <v>14.6</v>
      </c>
      <c r="O276" s="147" t="inlineStr">
        <is>
          <t>Illumina Truseq文库</t>
        </is>
      </c>
      <c r="P276" s="147" t="inlineStr">
        <is>
          <t>未磷酸化</t>
        </is>
      </c>
      <c r="Q276" s="147" t="inlineStr">
        <is>
          <t>未环化</t>
        </is>
      </c>
      <c r="R276" s="147" t="inlineStr">
        <is>
          <t>A</t>
        </is>
      </c>
      <c r="S276" s="147" t="n"/>
    </row>
    <row r="277" ht="30" customHeight="1" s="76">
      <c r="A277" s="152" t="n"/>
      <c r="B277" s="144" t="inlineStr">
        <is>
          <t>HGC-Lib-26098977</t>
        </is>
      </c>
      <c r="C277" s="144" t="n">
        <v>26.2</v>
      </c>
      <c r="D277" s="145" t="n">
        <v>20</v>
      </c>
      <c r="E277" s="146">
        <f>ROUND(D277/SUM(D276:D279)*IF(C277="",50,50.0),3)</f>
        <v/>
      </c>
      <c r="F277" s="146">
        <f>ROUND(E277/C277*G280,3)</f>
        <v/>
      </c>
      <c r="G277" s="144" t="inlineStr">
        <is>
          <t>其他</t>
        </is>
      </c>
      <c r="H277" s="144" t="inlineStr">
        <is>
          <t>广州新蓝基因科技有限公司</t>
        </is>
      </c>
      <c r="I277" s="146" t="n"/>
      <c r="J277" s="144" t="n"/>
      <c r="K277" s="144" t="n"/>
      <c r="L277" s="147" t="n"/>
      <c r="M277" s="147" t="n">
        <v>542</v>
      </c>
      <c r="N277" s="147" t="n">
        <v>26.2</v>
      </c>
      <c r="O277" s="147" t="inlineStr">
        <is>
          <t>Illumina Truseq文库</t>
        </is>
      </c>
      <c r="P277" s="147" t="inlineStr">
        <is>
          <t>未磷酸化</t>
        </is>
      </c>
      <c r="Q277" s="147" t="inlineStr">
        <is>
          <t>未环化</t>
        </is>
      </c>
      <c r="R277" s="147" t="inlineStr">
        <is>
          <t>A</t>
        </is>
      </c>
      <c r="S277" s="147" t="n"/>
    </row>
    <row r="278" ht="30" customHeight="1" s="76">
      <c r="A278" s="152" t="n"/>
      <c r="B278" s="144" t="inlineStr">
        <is>
          <t>HGC-Lib-26098978</t>
        </is>
      </c>
      <c r="C278" s="144" t="n">
        <v>17.6</v>
      </c>
      <c r="D278" s="145" t="n">
        <v>20</v>
      </c>
      <c r="E278" s="146">
        <f>ROUND(D278/SUM(D276:D279)*IF(C278="",50,50.0),3)</f>
        <v/>
      </c>
      <c r="F278" s="146">
        <f>ROUND(E278/C278*G280,3)</f>
        <v/>
      </c>
      <c r="G278" s="144" t="inlineStr">
        <is>
          <t>其他</t>
        </is>
      </c>
      <c r="H278" s="144" t="inlineStr">
        <is>
          <t>广州新蓝基因科技有限公司</t>
        </is>
      </c>
      <c r="I278" s="146" t="n"/>
      <c r="J278" s="144" t="n"/>
      <c r="K278" s="144" t="n"/>
      <c r="L278" s="147" t="n"/>
      <c r="M278" s="147" t="n">
        <v>516</v>
      </c>
      <c r="N278" s="147" t="n">
        <v>17.6</v>
      </c>
      <c r="O278" s="147" t="inlineStr">
        <is>
          <t>Illumina Truseq文库</t>
        </is>
      </c>
      <c r="P278" s="147" t="inlineStr">
        <is>
          <t>未磷酸化</t>
        </is>
      </c>
      <c r="Q278" s="147" t="inlineStr">
        <is>
          <t>未环化</t>
        </is>
      </c>
      <c r="R278" s="147" t="inlineStr">
        <is>
          <t>A</t>
        </is>
      </c>
      <c r="S278" s="147" t="n"/>
    </row>
    <row r="279" ht="30" customHeight="1" s="76">
      <c r="A279" s="153" t="n"/>
      <c r="B279" s="144" t="inlineStr">
        <is>
          <t>HGC-Lib-26098979</t>
        </is>
      </c>
      <c r="C279" s="144" t="n">
        <v>15.1</v>
      </c>
      <c r="D279" s="145" t="n">
        <v>20</v>
      </c>
      <c r="E279" s="146">
        <f>ROUND(D279/SUM(D276:D279)*IF(C279="",50,50.0),3)</f>
        <v/>
      </c>
      <c r="F279" s="146">
        <f>ROUND(E279/C279*G280,3)</f>
        <v/>
      </c>
      <c r="G279" s="144" t="inlineStr">
        <is>
          <t>其他</t>
        </is>
      </c>
      <c r="H279" s="144" t="inlineStr">
        <is>
          <t>广州新蓝基因科技有限公司</t>
        </is>
      </c>
      <c r="I279" s="146" t="n"/>
      <c r="J279" s="144" t="n"/>
      <c r="K279" s="144" t="n"/>
      <c r="L279" s="147" t="n"/>
      <c r="M279" s="147" t="n">
        <v>508</v>
      </c>
      <c r="N279" s="147" t="n">
        <v>15.1</v>
      </c>
      <c r="O279" s="147" t="inlineStr">
        <is>
          <t>Illumina Truseq文库</t>
        </is>
      </c>
      <c r="P279" s="147" t="inlineStr">
        <is>
          <t>未磷酸化</t>
        </is>
      </c>
      <c r="Q279" s="147" t="inlineStr">
        <is>
          <t>未环化</t>
        </is>
      </c>
      <c r="R279" s="147" t="inlineStr">
        <is>
          <t>A</t>
        </is>
      </c>
      <c r="S279" s="147" t="n"/>
    </row>
    <row r="280" ht="30" customHeight="1" s="76">
      <c r="A280" s="148" t="n"/>
      <c r="B280" s="147" t="n">
        <v>4</v>
      </c>
      <c r="C280" s="148" t="n"/>
      <c r="D280" s="149">
        <f>ROUND(SUM(D276:D279),2)</f>
        <v/>
      </c>
      <c r="E280" s="150">
        <f>ROUND(SUM(E276:E279),3)</f>
        <v/>
      </c>
      <c r="F280" s="150">
        <f>IF(G280&gt;1,ROUND(SUM(F276:F279)/G280*2,3),ROUND(SUM(F276:F279),3))</f>
        <v/>
      </c>
      <c r="G280" s="147" t="n">
        <v>1</v>
      </c>
      <c r="H280" s="148" t="n"/>
      <c r="I280" s="151">
        <f>ROUND(20-F280,3)</f>
        <v/>
      </c>
      <c r="J280" s="148" t="n"/>
      <c r="K280" s="148" t="n"/>
      <c r="L280" s="148" t="n"/>
      <c r="M280" s="147">
        <f>AVERAGE(M276:M279)</f>
        <v/>
      </c>
      <c r="N280" s="148" t="n"/>
      <c r="O280" s="148" t="n"/>
      <c r="P280" s="148" t="n"/>
      <c r="Q280" s="148" t="n"/>
      <c r="R280" s="148" t="n"/>
      <c r="S280" s="148" t="n"/>
    </row>
    <row r="281" ht="30" customHeight="1" s="76">
      <c r="A281" s="144" t="inlineStr">
        <is>
          <t>D6</t>
        </is>
      </c>
      <c r="B281" s="144" t="inlineStr">
        <is>
          <t>HGC-Lib-26094297</t>
        </is>
      </c>
      <c r="C281" s="144" t="n">
        <v>82.2</v>
      </c>
      <c r="D281" s="145" t="n">
        <v>90</v>
      </c>
      <c r="E281" s="146">
        <f>ROUND(D281/SUM(D281:D285)*IF(C281="",50,50.0),3)</f>
        <v/>
      </c>
      <c r="F281" s="146">
        <f>ROUND(E281/C281*G286,3)</f>
        <v/>
      </c>
      <c r="G281" s="144" t="inlineStr">
        <is>
          <t>WGS</t>
        </is>
      </c>
      <c r="H281" s="144" t="inlineStr">
        <is>
          <t>深圳市艾斯基因科技有限公司</t>
        </is>
      </c>
      <c r="I281" s="146" t="n"/>
      <c r="J281" s="144" t="n"/>
      <c r="K281" s="144" t="n"/>
      <c r="L281" s="147" t="n"/>
      <c r="M281" s="147" t="n">
        <v>436</v>
      </c>
      <c r="N281" s="147" t="n">
        <v>82.2</v>
      </c>
      <c r="O281" s="147" t="inlineStr">
        <is>
          <t>Illumina Truseq文库</t>
        </is>
      </c>
      <c r="P281" s="147" t="inlineStr">
        <is>
          <t>未磷酸化</t>
        </is>
      </c>
      <c r="Q281" s="147" t="inlineStr">
        <is>
          <t>未环化</t>
        </is>
      </c>
      <c r="R281" s="147" t="inlineStr">
        <is>
          <t>B</t>
        </is>
      </c>
      <c r="S281" s="147" t="inlineStr">
        <is>
          <t>C</t>
        </is>
      </c>
    </row>
    <row r="282" ht="30" customHeight="1" s="76">
      <c r="A282" s="152" t="n"/>
      <c r="B282" s="144" t="inlineStr">
        <is>
          <t>HGC-Lib-26094298</t>
        </is>
      </c>
      <c r="C282" s="144" t="n">
        <v>65</v>
      </c>
      <c r="D282" s="145" t="n">
        <v>90</v>
      </c>
      <c r="E282" s="146">
        <f>ROUND(D282/SUM(D281:D285)*IF(C282="",50,50.0),3)</f>
        <v/>
      </c>
      <c r="F282" s="146">
        <f>ROUND(E282/C282*G286,3)</f>
        <v/>
      </c>
      <c r="G282" s="144" t="inlineStr">
        <is>
          <t>WGS</t>
        </is>
      </c>
      <c r="H282" s="144" t="inlineStr">
        <is>
          <t>深圳市艾斯基因科技有限公司</t>
        </is>
      </c>
      <c r="I282" s="146" t="n"/>
      <c r="J282" s="144" t="n"/>
      <c r="K282" s="144" t="n"/>
      <c r="L282" s="147" t="n"/>
      <c r="M282" s="147" t="n">
        <v>543</v>
      </c>
      <c r="N282" s="147" t="n">
        <v>65</v>
      </c>
      <c r="O282" s="147" t="inlineStr">
        <is>
          <t>Illumina Truseq文库</t>
        </is>
      </c>
      <c r="P282" s="147" t="inlineStr">
        <is>
          <t>未磷酸化</t>
        </is>
      </c>
      <c r="Q282" s="147" t="inlineStr">
        <is>
          <t>未环化</t>
        </is>
      </c>
      <c r="R282" s="147" t="inlineStr">
        <is>
          <t>B</t>
        </is>
      </c>
      <c r="S282" s="147" t="inlineStr">
        <is>
          <t>C</t>
        </is>
      </c>
    </row>
    <row r="283" ht="30" customHeight="1" s="76">
      <c r="A283" s="152" t="n"/>
      <c r="B283" s="144" t="inlineStr">
        <is>
          <t>HGC-Lib-26094300</t>
        </is>
      </c>
      <c r="C283" s="144" t="n">
        <v>85.8</v>
      </c>
      <c r="D283" s="145" t="n">
        <v>90</v>
      </c>
      <c r="E283" s="146">
        <f>ROUND(D283/SUM(D281:D285)*IF(C283="",50,50.0),3)</f>
        <v/>
      </c>
      <c r="F283" s="146">
        <f>ROUND(E283/C283*G286,3)</f>
        <v/>
      </c>
      <c r="G283" s="144" t="inlineStr">
        <is>
          <t>WGS</t>
        </is>
      </c>
      <c r="H283" s="144" t="inlineStr">
        <is>
          <t>深圳市艾斯基因科技有限公司</t>
        </is>
      </c>
      <c r="I283" s="146" t="n"/>
      <c r="J283" s="144" t="n"/>
      <c r="K283" s="144" t="n"/>
      <c r="L283" s="147" t="n"/>
      <c r="M283" s="147" t="n">
        <v>520</v>
      </c>
      <c r="N283" s="147" t="n">
        <v>85.8</v>
      </c>
      <c r="O283" s="147" t="inlineStr">
        <is>
          <t>Illumina Truseq文库</t>
        </is>
      </c>
      <c r="P283" s="147" t="inlineStr">
        <is>
          <t>未磷酸化</t>
        </is>
      </c>
      <c r="Q283" s="147" t="inlineStr">
        <is>
          <t>未环化</t>
        </is>
      </c>
      <c r="R283" s="147" t="inlineStr">
        <is>
          <t>B</t>
        </is>
      </c>
      <c r="S283" s="147" t="inlineStr">
        <is>
          <t>C</t>
        </is>
      </c>
    </row>
    <row r="284" ht="30" customHeight="1" s="76">
      <c r="A284" s="152" t="n"/>
      <c r="B284" s="144" t="inlineStr">
        <is>
          <t>HGC-Lib-26094303</t>
        </is>
      </c>
      <c r="C284" s="144" t="n">
        <v>44</v>
      </c>
      <c r="D284" s="145" t="n">
        <v>90</v>
      </c>
      <c r="E284" s="146">
        <f>ROUND(D284/SUM(D281:D285)*IF(C284="",50,50.0),3)</f>
        <v/>
      </c>
      <c r="F284" s="146">
        <f>ROUND(E284/C284*G286,3)</f>
        <v/>
      </c>
      <c r="G284" s="144" t="inlineStr">
        <is>
          <t>WGS</t>
        </is>
      </c>
      <c r="H284" s="144" t="inlineStr">
        <is>
          <t>深圳市艾斯基因科技有限公司</t>
        </is>
      </c>
      <c r="I284" s="146" t="n"/>
      <c r="J284" s="144" t="n"/>
      <c r="K284" s="144" t="n"/>
      <c r="L284" s="147" t="n"/>
      <c r="M284" s="147" t="n">
        <v>500</v>
      </c>
      <c r="N284" s="147" t="n">
        <v>44</v>
      </c>
      <c r="O284" s="147" t="inlineStr">
        <is>
          <t>Illumina Truseq文库</t>
        </is>
      </c>
      <c r="P284" s="147" t="inlineStr">
        <is>
          <t>未磷酸化</t>
        </is>
      </c>
      <c r="Q284" s="147" t="inlineStr">
        <is>
          <t>未环化</t>
        </is>
      </c>
      <c r="R284" s="147" t="inlineStr">
        <is>
          <t>B</t>
        </is>
      </c>
      <c r="S284" s="147" t="inlineStr">
        <is>
          <t>C</t>
        </is>
      </c>
    </row>
    <row r="285" ht="30" customHeight="1" s="76">
      <c r="A285" s="153" t="n"/>
      <c r="B285" s="144" t="inlineStr">
        <is>
          <t>HGC-Lib-26094304</t>
        </is>
      </c>
      <c r="C285" s="144" t="n">
        <v>80.59999999999999</v>
      </c>
      <c r="D285" s="145" t="n">
        <v>90</v>
      </c>
      <c r="E285" s="146">
        <f>ROUND(D285/SUM(D281:D285)*IF(C285="",50,50.0),3)</f>
        <v/>
      </c>
      <c r="F285" s="146">
        <f>ROUND(E285/C285*G286,3)</f>
        <v/>
      </c>
      <c r="G285" s="144" t="inlineStr">
        <is>
          <t>WGS</t>
        </is>
      </c>
      <c r="H285" s="144" t="inlineStr">
        <is>
          <t>深圳市艾斯基因科技有限公司</t>
        </is>
      </c>
      <c r="I285" s="146" t="n"/>
      <c r="J285" s="144" t="n"/>
      <c r="K285" s="144" t="n"/>
      <c r="L285" s="147" t="n"/>
      <c r="M285" s="147" t="n">
        <v>462</v>
      </c>
      <c r="N285" s="147" t="n">
        <v>80.59999999999999</v>
      </c>
      <c r="O285" s="147" t="inlineStr">
        <is>
          <t>Illumina Truseq文库</t>
        </is>
      </c>
      <c r="P285" s="147" t="inlineStr">
        <is>
          <t>未磷酸化</t>
        </is>
      </c>
      <c r="Q285" s="147" t="inlineStr">
        <is>
          <t>未环化</t>
        </is>
      </c>
      <c r="R285" s="147" t="inlineStr">
        <is>
          <t>B</t>
        </is>
      </c>
      <c r="S285" s="147" t="inlineStr">
        <is>
          <t>C</t>
        </is>
      </c>
    </row>
    <row r="286" ht="30" customHeight="1" s="76">
      <c r="A286" s="148" t="n"/>
      <c r="B286" s="147" t="n">
        <v>5</v>
      </c>
      <c r="C286" s="148" t="n"/>
      <c r="D286" s="149">
        <f>ROUND(SUM(D281:D285),2)</f>
        <v/>
      </c>
      <c r="E286" s="150">
        <f>ROUND(SUM(E281:E285),3)</f>
        <v/>
      </c>
      <c r="F286" s="150">
        <f>IF(G286&gt;1,ROUND(SUM(F281:F285)/G286*2,3),ROUND(SUM(F281:F285),3))</f>
        <v/>
      </c>
      <c r="G286" s="147" t="n">
        <v>5</v>
      </c>
      <c r="H286" s="148" t="n"/>
      <c r="I286" s="151">
        <f>ROUND(20-F286,3)</f>
        <v/>
      </c>
      <c r="J286" s="148" t="n"/>
      <c r="K286" s="148" t="n"/>
      <c r="L286" s="148" t="n"/>
      <c r="M286" s="147">
        <f>AVERAGE(M281:M285)</f>
        <v/>
      </c>
      <c r="N286" s="148" t="n"/>
      <c r="O286" s="148" t="n"/>
      <c r="P286" s="148" t="n"/>
      <c r="Q286" s="148" t="n"/>
      <c r="R286" s="148" t="n"/>
      <c r="S286" s="148" t="n"/>
    </row>
    <row r="287" ht="30" customHeight="1" s="76">
      <c r="A287" s="144" t="inlineStr">
        <is>
          <t>D7</t>
        </is>
      </c>
      <c r="B287" s="144" t="inlineStr">
        <is>
          <t>HGC-Lib-26094299</t>
        </is>
      </c>
      <c r="C287" s="144" t="n">
        <v>9.5</v>
      </c>
      <c r="D287" s="145" t="n">
        <v>90</v>
      </c>
      <c r="E287" s="146">
        <f>ROUND(D287/SUM(D287:D291)*IF(C287="",50,50.0),3)</f>
        <v/>
      </c>
      <c r="F287" s="146">
        <f>ROUND(E287/C287*G292,3)</f>
        <v/>
      </c>
      <c r="G287" s="144" t="inlineStr">
        <is>
          <t>WGS</t>
        </is>
      </c>
      <c r="H287" s="144" t="inlineStr">
        <is>
          <t>深圳市艾斯基因科技有限公司</t>
        </is>
      </c>
      <c r="I287" s="146" t="n"/>
      <c r="J287" s="144" t="n"/>
      <c r="K287" s="144" t="n"/>
      <c r="L287" s="147" t="n"/>
      <c r="M287" s="147" t="n">
        <v>518</v>
      </c>
      <c r="N287" s="147" t="n">
        <v>9.5</v>
      </c>
      <c r="O287" s="147" t="inlineStr">
        <is>
          <t>Illumina Truseq文库</t>
        </is>
      </c>
      <c r="P287" s="147" t="inlineStr">
        <is>
          <t>未磷酸化</t>
        </is>
      </c>
      <c r="Q287" s="147" t="inlineStr">
        <is>
          <t>未环化</t>
        </is>
      </c>
      <c r="R287" s="147" t="inlineStr">
        <is>
          <t>B</t>
        </is>
      </c>
      <c r="S287" s="147" t="inlineStr">
        <is>
          <t>C</t>
        </is>
      </c>
    </row>
    <row r="288" ht="30" customHeight="1" s="76">
      <c r="A288" s="152" t="n"/>
      <c r="B288" s="144" t="inlineStr">
        <is>
          <t>HGC-Lib-26094301</t>
        </is>
      </c>
      <c r="C288" s="144" t="n">
        <v>7.84</v>
      </c>
      <c r="D288" s="145" t="n">
        <v>90</v>
      </c>
      <c r="E288" s="146">
        <f>ROUND(D288/SUM(D287:D291)*IF(C288="",50,50.0),3)</f>
        <v/>
      </c>
      <c r="F288" s="146">
        <f>ROUND(E288/C288*G292,3)</f>
        <v/>
      </c>
      <c r="G288" s="144" t="inlineStr">
        <is>
          <t>WGS</t>
        </is>
      </c>
      <c r="H288" s="144" t="inlineStr">
        <is>
          <t>深圳市艾斯基因科技有限公司</t>
        </is>
      </c>
      <c r="I288" s="146" t="n"/>
      <c r="J288" s="144" t="n"/>
      <c r="K288" s="144" t="n"/>
      <c r="L288" s="147" t="n"/>
      <c r="M288" s="147" t="n">
        <v>430</v>
      </c>
      <c r="N288" s="147" t="n">
        <v>7.84</v>
      </c>
      <c r="O288" s="147" t="inlineStr">
        <is>
          <t>Illumina Truseq文库</t>
        </is>
      </c>
      <c r="P288" s="147" t="inlineStr">
        <is>
          <t>未磷酸化</t>
        </is>
      </c>
      <c r="Q288" s="147" t="inlineStr">
        <is>
          <t>未环化</t>
        </is>
      </c>
      <c r="R288" s="147" t="inlineStr">
        <is>
          <t>B</t>
        </is>
      </c>
      <c r="S288" s="147" t="inlineStr">
        <is>
          <t>C</t>
        </is>
      </c>
    </row>
    <row r="289" ht="30" customHeight="1" s="76">
      <c r="A289" s="152" t="n"/>
      <c r="B289" s="144" t="inlineStr">
        <is>
          <t>HGC-Lib-26094302</t>
        </is>
      </c>
      <c r="C289" s="144" t="n">
        <v>6.48</v>
      </c>
      <c r="D289" s="145" t="n">
        <v>90</v>
      </c>
      <c r="E289" s="146">
        <f>ROUND(D289/SUM(D287:D291)*IF(C289="",50,50.0),3)</f>
        <v/>
      </c>
      <c r="F289" s="146">
        <f>ROUND(E289/C289*G292,3)</f>
        <v/>
      </c>
      <c r="G289" s="144" t="inlineStr">
        <is>
          <t>WGS</t>
        </is>
      </c>
      <c r="H289" s="144" t="inlineStr">
        <is>
          <t>深圳市艾斯基因科技有限公司</t>
        </is>
      </c>
      <c r="I289" s="146" t="n"/>
      <c r="J289" s="144" t="n"/>
      <c r="K289" s="144" t="n"/>
      <c r="L289" s="147" t="n"/>
      <c r="M289" s="147" t="n">
        <v>437</v>
      </c>
      <c r="N289" s="147" t="n">
        <v>6.48</v>
      </c>
      <c r="O289" s="147" t="inlineStr">
        <is>
          <t>Illumina Truseq文库</t>
        </is>
      </c>
      <c r="P289" s="147" t="inlineStr">
        <is>
          <t>未磷酸化</t>
        </is>
      </c>
      <c r="Q289" s="147" t="inlineStr">
        <is>
          <t>未环化</t>
        </is>
      </c>
      <c r="R289" s="147" t="inlineStr">
        <is>
          <t>B</t>
        </is>
      </c>
      <c r="S289" s="147" t="inlineStr">
        <is>
          <t>C</t>
        </is>
      </c>
    </row>
    <row r="290" ht="30" customHeight="1" s="76">
      <c r="A290" s="152" t="n"/>
      <c r="B290" s="144" t="inlineStr">
        <is>
          <t>HGC-Lib-26094305</t>
        </is>
      </c>
      <c r="C290" s="144" t="n">
        <v>4.48</v>
      </c>
      <c r="D290" s="145" t="n">
        <v>90</v>
      </c>
      <c r="E290" s="146">
        <f>ROUND(D290/SUM(D287:D291)*IF(C290="",50,50.0),3)</f>
        <v/>
      </c>
      <c r="F290" s="146">
        <f>ROUND(E290/C290*G292,3)</f>
        <v/>
      </c>
      <c r="G290" s="144" t="inlineStr">
        <is>
          <t>WGS</t>
        </is>
      </c>
      <c r="H290" s="144" t="inlineStr">
        <is>
          <t>深圳市艾斯基因科技有限公司</t>
        </is>
      </c>
      <c r="I290" s="146" t="n"/>
      <c r="J290" s="144" t="n"/>
      <c r="K290" s="144" t="n"/>
      <c r="L290" s="147" t="n"/>
      <c r="M290" s="147" t="n">
        <v>393</v>
      </c>
      <c r="N290" s="147" t="n">
        <v>4.48</v>
      </c>
      <c r="O290" s="147" t="inlineStr">
        <is>
          <t>Illumina Truseq文库</t>
        </is>
      </c>
      <c r="P290" s="147" t="inlineStr">
        <is>
          <t>未磷酸化</t>
        </is>
      </c>
      <c r="Q290" s="147" t="inlineStr">
        <is>
          <t>未环化</t>
        </is>
      </c>
      <c r="R290" s="147" t="inlineStr">
        <is>
          <t>B</t>
        </is>
      </c>
      <c r="S290" s="147" t="inlineStr">
        <is>
          <t>C</t>
        </is>
      </c>
    </row>
    <row r="291" ht="30" customHeight="1" s="76">
      <c r="A291" s="153" t="n"/>
      <c r="B291" s="144" t="inlineStr">
        <is>
          <t>HGC-Lib-26094306</t>
        </is>
      </c>
      <c r="C291" s="144" t="n">
        <v>7.34</v>
      </c>
      <c r="D291" s="145" t="n">
        <v>90</v>
      </c>
      <c r="E291" s="146">
        <f>ROUND(D291/SUM(D287:D291)*IF(C291="",50,50.0),3)</f>
        <v/>
      </c>
      <c r="F291" s="146">
        <f>ROUND(E291/C291*G292,3)</f>
        <v/>
      </c>
      <c r="G291" s="144" t="inlineStr">
        <is>
          <t>WGS</t>
        </is>
      </c>
      <c r="H291" s="144" t="inlineStr">
        <is>
          <t>深圳市艾斯基因科技有限公司</t>
        </is>
      </c>
      <c r="I291" s="146" t="n"/>
      <c r="J291" s="144" t="n"/>
      <c r="K291" s="144" t="n"/>
      <c r="L291" s="147" t="n"/>
      <c r="M291" s="147" t="n">
        <v>389</v>
      </c>
      <c r="N291" s="147" t="n">
        <v>7.34</v>
      </c>
      <c r="O291" s="147" t="inlineStr">
        <is>
          <t>Illumina Truseq文库</t>
        </is>
      </c>
      <c r="P291" s="147" t="inlineStr">
        <is>
          <t>未磷酸化</t>
        </is>
      </c>
      <c r="Q291" s="147" t="inlineStr">
        <is>
          <t>未环化</t>
        </is>
      </c>
      <c r="R291" s="147" t="inlineStr">
        <is>
          <t>B</t>
        </is>
      </c>
      <c r="S291" s="147" t="inlineStr">
        <is>
          <t>C</t>
        </is>
      </c>
    </row>
    <row r="292" ht="30" customHeight="1" s="76">
      <c r="A292" s="148" t="n"/>
      <c r="B292" s="147" t="n">
        <v>5</v>
      </c>
      <c r="C292" s="148" t="n"/>
      <c r="D292" s="149">
        <f>ROUND(SUM(D287:D291),2)</f>
        <v/>
      </c>
      <c r="E292" s="150">
        <f>ROUND(SUM(E287:E291),3)</f>
        <v/>
      </c>
      <c r="F292" s="150">
        <f>IF(G292&gt;1,ROUND(SUM(F287:F291)/G292*2,3),ROUND(SUM(F287:F291),3))</f>
        <v/>
      </c>
      <c r="G292" s="147" t="n">
        <v>1</v>
      </c>
      <c r="H292" s="148" t="n"/>
      <c r="I292" s="151">
        <f>ROUND(20-F292,3)</f>
        <v/>
      </c>
      <c r="J292" s="148" t="n"/>
      <c r="K292" s="148" t="n"/>
      <c r="L292" s="148" t="n"/>
      <c r="M292" s="147">
        <f>AVERAGE(M287:M291)</f>
        <v/>
      </c>
      <c r="N292" s="148" t="n"/>
      <c r="O292" s="148" t="n"/>
      <c r="P292" s="148" t="n"/>
      <c r="Q292" s="148" t="n"/>
      <c r="R292" s="148" t="n"/>
      <c r="S292" s="148" t="n"/>
    </row>
    <row r="293" ht="30" customHeight="1" s="76">
      <c r="A293" s="155" t="inlineStr">
        <is>
          <t>D8</t>
        </is>
      </c>
      <c r="B293" s="144" t="inlineStr">
        <is>
          <t>HGC-Lib-26097530</t>
        </is>
      </c>
      <c r="C293" s="144" t="n">
        <v>13.24</v>
      </c>
      <c r="D293" s="145" t="n">
        <v>2</v>
      </c>
      <c r="E293" s="146">
        <f>ROUND(D293/SUM(D293:D296)*IF(C293="",50,300.0),3)</f>
        <v/>
      </c>
      <c r="F293" s="146">
        <f>ROUND(E293/C293*G297,3)</f>
        <v/>
      </c>
      <c r="G293" s="144" t="inlineStr">
        <is>
          <t>华大-C4-oligo</t>
        </is>
      </c>
      <c r="H293" s="144" t="inlineStr">
        <is>
          <t>广州奥智生物科技有限公司</t>
        </is>
      </c>
      <c r="I293" s="146" t="n"/>
      <c r="J293" s="144" t="n"/>
      <c r="K293" s="144" t="n"/>
      <c r="L293" s="147" t="n"/>
      <c r="M293" s="147" t="n"/>
      <c r="N293" s="147" t="n">
        <v>13.24</v>
      </c>
      <c r="O293" s="147" t="inlineStr">
        <is>
          <t>华大单barcode文库</t>
        </is>
      </c>
      <c r="P293" s="147" t="inlineStr">
        <is>
          <t>已磷酸化</t>
        </is>
      </c>
      <c r="Q293" s="147" t="inlineStr">
        <is>
          <t>未环化</t>
        </is>
      </c>
      <c r="R293" s="147" t="inlineStr">
        <is>
          <t>B</t>
        </is>
      </c>
      <c r="S293" s="147" t="inlineStr">
        <is>
          <t>E</t>
        </is>
      </c>
    </row>
    <row r="294" ht="30" customHeight="1" s="76">
      <c r="A294" s="152" t="n"/>
      <c r="B294" s="144" t="inlineStr">
        <is>
          <t>HGC-Lib-26097532</t>
        </is>
      </c>
      <c r="C294" s="144" t="n">
        <v>10.72</v>
      </c>
      <c r="D294" s="145" t="n">
        <v>2</v>
      </c>
      <c r="E294" s="146">
        <f>ROUND(D294/SUM(D293:D296)*IF(C294="",50,300.0),3)</f>
        <v/>
      </c>
      <c r="F294" s="146">
        <f>ROUND(E294/C294*G297,3)</f>
        <v/>
      </c>
      <c r="G294" s="144" t="inlineStr">
        <is>
          <t>华大-C4-oligo</t>
        </is>
      </c>
      <c r="H294" s="144" t="inlineStr">
        <is>
          <t>广州奥智生物科技有限公司</t>
        </is>
      </c>
      <c r="I294" s="146" t="n"/>
      <c r="J294" s="144" t="n"/>
      <c r="K294" s="144" t="n"/>
      <c r="L294" s="147" t="n"/>
      <c r="M294" s="147" t="n"/>
      <c r="N294" s="147" t="n">
        <v>10.72</v>
      </c>
      <c r="O294" s="147" t="inlineStr">
        <is>
          <t>华大单barcode文库</t>
        </is>
      </c>
      <c r="P294" s="147" t="inlineStr">
        <is>
          <t>已磷酸化</t>
        </is>
      </c>
      <c r="Q294" s="147" t="inlineStr">
        <is>
          <t>未环化</t>
        </is>
      </c>
      <c r="R294" s="147" t="inlineStr">
        <is>
          <t>B</t>
        </is>
      </c>
      <c r="S294" s="147" t="inlineStr">
        <is>
          <t>E</t>
        </is>
      </c>
    </row>
    <row r="295" ht="30" customHeight="1" s="76">
      <c r="A295" s="152" t="n"/>
      <c r="B295" s="144" t="inlineStr">
        <is>
          <t>HGC-Lib-26097534</t>
        </is>
      </c>
      <c r="C295" s="144" t="n">
        <v>9.33</v>
      </c>
      <c r="D295" s="145" t="n">
        <v>2</v>
      </c>
      <c r="E295" s="146">
        <f>ROUND(D295/SUM(D293:D296)*IF(C295="",50,300.0),3)</f>
        <v/>
      </c>
      <c r="F295" s="146">
        <f>ROUND(E295/C295*G297,3)</f>
        <v/>
      </c>
      <c r="G295" s="144" t="inlineStr">
        <is>
          <t>华大-C4-oligo</t>
        </is>
      </c>
      <c r="H295" s="144" t="inlineStr">
        <is>
          <t>广州奥智生物科技有限公司</t>
        </is>
      </c>
      <c r="I295" s="146" t="n"/>
      <c r="J295" s="144" t="n"/>
      <c r="K295" s="144" t="n"/>
      <c r="L295" s="147" t="n"/>
      <c r="M295" s="147" t="n"/>
      <c r="N295" s="147" t="n">
        <v>9.33</v>
      </c>
      <c r="O295" s="147" t="inlineStr">
        <is>
          <t>华大单barcode文库</t>
        </is>
      </c>
      <c r="P295" s="147" t="inlineStr">
        <is>
          <t>已磷酸化</t>
        </is>
      </c>
      <c r="Q295" s="147" t="inlineStr">
        <is>
          <t>未环化</t>
        </is>
      </c>
      <c r="R295" s="147" t="inlineStr">
        <is>
          <t>B</t>
        </is>
      </c>
      <c r="S295" s="147" t="inlineStr">
        <is>
          <t>AE</t>
        </is>
      </c>
    </row>
    <row r="296" ht="30" customHeight="1" s="76">
      <c r="A296" s="153" t="n"/>
      <c r="B296" s="144" t="inlineStr">
        <is>
          <t>HGC-Lib-26097536</t>
        </is>
      </c>
      <c r="C296" s="144" t="n">
        <v>11.33</v>
      </c>
      <c r="D296" s="145" t="n">
        <v>2</v>
      </c>
      <c r="E296" s="146">
        <f>ROUND(D296/SUM(D293:D296)*IF(C296="",50,300.0),3)</f>
        <v/>
      </c>
      <c r="F296" s="146">
        <f>ROUND(E296/C296*G297,3)</f>
        <v/>
      </c>
      <c r="G296" s="144" t="inlineStr">
        <is>
          <t>华大-C4-oligo</t>
        </is>
      </c>
      <c r="H296" s="144" t="inlineStr">
        <is>
          <t>广州奥智生物科技有限公司</t>
        </is>
      </c>
      <c r="I296" s="146" t="n"/>
      <c r="J296" s="144" t="n"/>
      <c r="K296" s="144" t="n"/>
      <c r="L296" s="147" t="n"/>
      <c r="M296" s="147" t="n"/>
      <c r="N296" s="147" t="n">
        <v>11.33</v>
      </c>
      <c r="O296" s="147" t="inlineStr">
        <is>
          <t>华大单barcode文库</t>
        </is>
      </c>
      <c r="P296" s="147" t="inlineStr">
        <is>
          <t>已磷酸化</t>
        </is>
      </c>
      <c r="Q296" s="147" t="inlineStr">
        <is>
          <t>未环化</t>
        </is>
      </c>
      <c r="R296" s="147" t="inlineStr">
        <is>
          <t>B</t>
        </is>
      </c>
      <c r="S296" s="147" t="inlineStr">
        <is>
          <t>E</t>
        </is>
      </c>
    </row>
    <row r="297" ht="30" customHeight="1" s="76">
      <c r="A297" s="148" t="n"/>
      <c r="B297" s="147" t="n">
        <v>4</v>
      </c>
      <c r="C297" s="148" t="n"/>
      <c r="D297" s="149">
        <f>ROUND(SUM(D293:D296),2)</f>
        <v/>
      </c>
      <c r="E297" s="150">
        <f>ROUND(SUM(E293:E296),3)</f>
        <v/>
      </c>
      <c r="F297" s="150">
        <f>IF(G297&gt;1,ROUND(SUM(F293:F296)/G297*2,3),ROUND(SUM(F293:F296),3))</f>
        <v/>
      </c>
      <c r="G297" s="147" t="n">
        <v>1</v>
      </c>
      <c r="H297" s="148" t="n"/>
      <c r="I297" s="151">
        <f>ROUND(40-F297,3)</f>
        <v/>
      </c>
      <c r="J297" s="148" t="n"/>
      <c r="K297" s="148" t="n"/>
      <c r="L297" s="148" t="n"/>
      <c r="M297" s="147">
        <f>AVERAGE(M293:M296)</f>
        <v/>
      </c>
      <c r="N297" s="148" t="n"/>
      <c r="O297" s="148" t="n"/>
      <c r="P297" s="148" t="n"/>
      <c r="Q297" s="148" t="n"/>
      <c r="R297" s="148" t="n"/>
      <c r="S297" s="148" t="n"/>
    </row>
    <row r="298" ht="30" customHeight="1" s="76">
      <c r="A298" s="155" t="inlineStr">
        <is>
          <t>D9</t>
        </is>
      </c>
      <c r="B298" s="144" t="inlineStr">
        <is>
          <t>HGC-Lib-26097514</t>
        </is>
      </c>
      <c r="C298" s="144" t="n">
        <v>19.19</v>
      </c>
      <c r="D298" s="145" t="n">
        <v>106</v>
      </c>
      <c r="E298" s="146">
        <f>ROUND(D298/SUM(D298:D308)*IF(C298="",50,300.0),3)</f>
        <v/>
      </c>
      <c r="F298" s="146">
        <f>ROUND(E298/C298*G309,3)</f>
        <v/>
      </c>
      <c r="G298" s="144" t="inlineStr">
        <is>
          <t>华大-C4-转录组</t>
        </is>
      </c>
      <c r="H298" s="144" t="inlineStr">
        <is>
          <t>广州奥智生物科技有限公司</t>
        </is>
      </c>
      <c r="I298" s="146" t="n"/>
      <c r="J298" s="144" t="n"/>
      <c r="K298" s="144" t="n"/>
      <c r="L298" s="147" t="n"/>
      <c r="M298" s="147" t="n"/>
      <c r="N298" s="147" t="n">
        <v>19.19</v>
      </c>
      <c r="O298" s="147" t="inlineStr">
        <is>
          <t>华大单barcode文库</t>
        </is>
      </c>
      <c r="P298" s="147" t="inlineStr">
        <is>
          <t>已磷酸化</t>
        </is>
      </c>
      <c r="Q298" s="147" t="inlineStr">
        <is>
          <t>未环化</t>
        </is>
      </c>
      <c r="R298" s="147" t="inlineStr">
        <is>
          <t>A</t>
        </is>
      </c>
      <c r="S298" s="147" t="n"/>
    </row>
    <row r="299" ht="30" customHeight="1" s="76">
      <c r="A299" s="152" t="n"/>
      <c r="B299" s="144" t="inlineStr">
        <is>
          <t>HGC-Lib-26097525</t>
        </is>
      </c>
      <c r="C299" s="144" t="n">
        <v>12.16</v>
      </c>
      <c r="D299" s="145" t="n">
        <v>88</v>
      </c>
      <c r="E299" s="146">
        <f>ROUND(D299/SUM(D298:D308)*IF(C299="",50,300.0),3)</f>
        <v/>
      </c>
      <c r="F299" s="146">
        <f>ROUND(E299/C299*G309,3)</f>
        <v/>
      </c>
      <c r="G299" s="144" t="inlineStr">
        <is>
          <t>华大-C4-转录组</t>
        </is>
      </c>
      <c r="H299" s="144" t="inlineStr">
        <is>
          <t>广州奥智生物科技有限公司</t>
        </is>
      </c>
      <c r="I299" s="146" t="n"/>
      <c r="J299" s="144" t="n"/>
      <c r="K299" s="144" t="n"/>
      <c r="L299" s="147" t="n"/>
      <c r="M299" s="147" t="n"/>
      <c r="N299" s="147" t="n">
        <v>12.16</v>
      </c>
      <c r="O299" s="147" t="inlineStr">
        <is>
          <t>华大单barcode文库</t>
        </is>
      </c>
      <c r="P299" s="147" t="inlineStr">
        <is>
          <t>已磷酸化</t>
        </is>
      </c>
      <c r="Q299" s="147" t="inlineStr">
        <is>
          <t>未环化</t>
        </is>
      </c>
      <c r="R299" s="147" t="inlineStr">
        <is>
          <t>B</t>
        </is>
      </c>
      <c r="S299" s="147" t="inlineStr">
        <is>
          <t>E</t>
        </is>
      </c>
    </row>
    <row r="300" ht="30" customHeight="1" s="76">
      <c r="A300" s="152" t="n"/>
      <c r="B300" s="144" t="inlineStr">
        <is>
          <t>HGC-Lib-26097526</t>
        </is>
      </c>
      <c r="C300" s="144" t="n">
        <v>14.75</v>
      </c>
      <c r="D300" s="145" t="n">
        <v>88</v>
      </c>
      <c r="E300" s="146">
        <f>ROUND(D300/SUM(D298:D308)*IF(C300="",50,300.0),3)</f>
        <v/>
      </c>
      <c r="F300" s="146">
        <f>ROUND(E300/C300*G309,3)</f>
        <v/>
      </c>
      <c r="G300" s="144" t="inlineStr">
        <is>
          <t>华大-C4-转录组</t>
        </is>
      </c>
      <c r="H300" s="144" t="inlineStr">
        <is>
          <t>广州奥智生物科技有限公司</t>
        </is>
      </c>
      <c r="I300" s="146" t="n"/>
      <c r="J300" s="144" t="n"/>
      <c r="K300" s="144" t="n"/>
      <c r="L300" s="147" t="n"/>
      <c r="M300" s="147" t="n"/>
      <c r="N300" s="147" t="n">
        <v>14.75</v>
      </c>
      <c r="O300" s="147" t="inlineStr">
        <is>
          <t>华大单barcode文库</t>
        </is>
      </c>
      <c r="P300" s="147" t="inlineStr">
        <is>
          <t>已磷酸化</t>
        </is>
      </c>
      <c r="Q300" s="147" t="inlineStr">
        <is>
          <t>未环化</t>
        </is>
      </c>
      <c r="R300" s="147" t="inlineStr">
        <is>
          <t>B</t>
        </is>
      </c>
      <c r="S300" s="147" t="inlineStr">
        <is>
          <t>E</t>
        </is>
      </c>
    </row>
    <row r="301" ht="30" customHeight="1" s="76">
      <c r="A301" s="152" t="n"/>
      <c r="B301" s="144" t="inlineStr">
        <is>
          <t>HGC-Lib-26097527</t>
        </is>
      </c>
      <c r="C301" s="144" t="n">
        <v>17.61</v>
      </c>
      <c r="D301" s="145" t="n">
        <v>88</v>
      </c>
      <c r="E301" s="146">
        <f>ROUND(D301/SUM(D298:D308)*IF(C301="",50,300.0),3)</f>
        <v/>
      </c>
      <c r="F301" s="146">
        <f>ROUND(E301/C301*G309,3)</f>
        <v/>
      </c>
      <c r="G301" s="144" t="inlineStr">
        <is>
          <t>华大-C4-转录组</t>
        </is>
      </c>
      <c r="H301" s="144" t="inlineStr">
        <is>
          <t>广州奥智生物科技有限公司</t>
        </is>
      </c>
      <c r="I301" s="146" t="n"/>
      <c r="J301" s="144" t="n"/>
      <c r="K301" s="144" t="n"/>
      <c r="L301" s="147" t="n"/>
      <c r="M301" s="147" t="n"/>
      <c r="N301" s="147" t="n">
        <v>17.61</v>
      </c>
      <c r="O301" s="147" t="inlineStr">
        <is>
          <t>华大单barcode文库</t>
        </is>
      </c>
      <c r="P301" s="147" t="inlineStr">
        <is>
          <t>已磷酸化</t>
        </is>
      </c>
      <c r="Q301" s="147" t="inlineStr">
        <is>
          <t>未环化</t>
        </is>
      </c>
      <c r="R301" s="147" t="inlineStr">
        <is>
          <t>B</t>
        </is>
      </c>
      <c r="S301" s="147" t="inlineStr">
        <is>
          <t>E</t>
        </is>
      </c>
    </row>
    <row r="302" ht="30" customHeight="1" s="76">
      <c r="A302" s="152" t="n"/>
      <c r="B302" s="144" t="inlineStr">
        <is>
          <t>HGC-Lib-26097529</t>
        </is>
      </c>
      <c r="C302" s="144" t="n">
        <v>24.72</v>
      </c>
      <c r="D302" s="145" t="n">
        <v>88</v>
      </c>
      <c r="E302" s="146">
        <f>ROUND(D302/SUM(D298:D308)*IF(C302="",50,300.0),3)</f>
        <v/>
      </c>
      <c r="F302" s="146">
        <f>ROUND(E302/C302*G309,3)</f>
        <v/>
      </c>
      <c r="G302" s="144" t="inlineStr">
        <is>
          <t>华大-C4-转录组</t>
        </is>
      </c>
      <c r="H302" s="144" t="inlineStr">
        <is>
          <t>广州奥智生物科技有限公司</t>
        </is>
      </c>
      <c r="I302" s="146" t="n"/>
      <c r="J302" s="144" t="n"/>
      <c r="K302" s="144" t="n"/>
      <c r="L302" s="147" t="n"/>
      <c r="M302" s="147" t="n"/>
      <c r="N302" s="147" t="n">
        <v>24.72</v>
      </c>
      <c r="O302" s="147" t="inlineStr">
        <is>
          <t>华大单barcode文库</t>
        </is>
      </c>
      <c r="P302" s="147" t="inlineStr">
        <is>
          <t>已磷酸化</t>
        </is>
      </c>
      <c r="Q302" s="147" t="inlineStr">
        <is>
          <t>未环化</t>
        </is>
      </c>
      <c r="R302" s="147" t="inlineStr">
        <is>
          <t>A</t>
        </is>
      </c>
      <c r="S302" s="147" t="n"/>
    </row>
    <row r="303" ht="30" customHeight="1" s="76">
      <c r="A303" s="152" t="n"/>
      <c r="B303" s="144" t="inlineStr">
        <is>
          <t>HGC-Lib-26097533</t>
        </is>
      </c>
      <c r="C303" s="144" t="n">
        <v>22.96</v>
      </c>
      <c r="D303" s="145" t="n">
        <v>88</v>
      </c>
      <c r="E303" s="146">
        <f>ROUND(D303/SUM(D298:D308)*IF(C303="",50,300.0),3)</f>
        <v/>
      </c>
      <c r="F303" s="146">
        <f>ROUND(E303/C303*G309,3)</f>
        <v/>
      </c>
      <c r="G303" s="144" t="inlineStr">
        <is>
          <t>华大-C4-转录组</t>
        </is>
      </c>
      <c r="H303" s="144" t="inlineStr">
        <is>
          <t>广州奥智生物科技有限公司</t>
        </is>
      </c>
      <c r="I303" s="146" t="n"/>
      <c r="J303" s="144" t="n"/>
      <c r="K303" s="144" t="n"/>
      <c r="L303" s="147" t="n"/>
      <c r="M303" s="147" t="n"/>
      <c r="N303" s="147" t="n">
        <v>22.96</v>
      </c>
      <c r="O303" s="147" t="inlineStr">
        <is>
          <t>华大单barcode文库</t>
        </is>
      </c>
      <c r="P303" s="147" t="inlineStr">
        <is>
          <t>已磷酸化</t>
        </is>
      </c>
      <c r="Q303" s="147" t="inlineStr">
        <is>
          <t>未环化</t>
        </is>
      </c>
      <c r="R303" s="147" t="inlineStr">
        <is>
          <t>A</t>
        </is>
      </c>
      <c r="S303" s="147" t="n"/>
    </row>
    <row r="304" ht="30" customHeight="1" s="76">
      <c r="A304" s="152" t="n"/>
      <c r="B304" s="144" t="inlineStr">
        <is>
          <t>HGC-Lib-26097535</t>
        </is>
      </c>
      <c r="C304" s="144" t="n">
        <v>20.77</v>
      </c>
      <c r="D304" s="145" t="n">
        <v>88</v>
      </c>
      <c r="E304" s="146">
        <f>ROUND(D304/SUM(D298:D308)*IF(C304="",50,300.0),3)</f>
        <v/>
      </c>
      <c r="F304" s="146">
        <f>ROUND(E304/C304*G309,3)</f>
        <v/>
      </c>
      <c r="G304" s="144" t="inlineStr">
        <is>
          <t>华大-C4-转录组</t>
        </is>
      </c>
      <c r="H304" s="144" t="inlineStr">
        <is>
          <t>广州奥智生物科技有限公司</t>
        </is>
      </c>
      <c r="I304" s="146" t="n"/>
      <c r="J304" s="144" t="n"/>
      <c r="K304" s="144" t="n"/>
      <c r="L304" s="147" t="n"/>
      <c r="M304" s="147" t="n"/>
      <c r="N304" s="147" t="n">
        <v>20.77</v>
      </c>
      <c r="O304" s="147" t="inlineStr">
        <is>
          <t>华大单barcode文库</t>
        </is>
      </c>
      <c r="P304" s="147" t="inlineStr">
        <is>
          <t>已磷酸化</t>
        </is>
      </c>
      <c r="Q304" s="147" t="inlineStr">
        <is>
          <t>未环化</t>
        </is>
      </c>
      <c r="R304" s="147" t="inlineStr">
        <is>
          <t>A</t>
        </is>
      </c>
      <c r="S304" s="147" t="n"/>
    </row>
    <row r="305" ht="30" customHeight="1" s="76">
      <c r="A305" s="152" t="n"/>
      <c r="B305" s="144" t="inlineStr">
        <is>
          <t>HGC-Lib-26097539</t>
        </is>
      </c>
      <c r="C305" s="144" t="n">
        <v>9.51</v>
      </c>
      <c r="D305" s="145" t="n">
        <v>88</v>
      </c>
      <c r="E305" s="146">
        <f>ROUND(D305/SUM(D298:D308)*IF(C305="",50,300.0),3)</f>
        <v/>
      </c>
      <c r="F305" s="146">
        <f>ROUND(E305/C305*G309,3)</f>
        <v/>
      </c>
      <c r="G305" s="144" t="inlineStr">
        <is>
          <t>华大-C4-转录组</t>
        </is>
      </c>
      <c r="H305" s="144" t="inlineStr">
        <is>
          <t>广州奥智生物科技有限公司</t>
        </is>
      </c>
      <c r="I305" s="146" t="n"/>
      <c r="J305" s="144" t="n"/>
      <c r="K305" s="144" t="n"/>
      <c r="L305" s="147" t="n"/>
      <c r="M305" s="147" t="n"/>
      <c r="N305" s="147" t="n">
        <v>9.51</v>
      </c>
      <c r="O305" s="147" t="inlineStr">
        <is>
          <t>华大单barcode文库</t>
        </is>
      </c>
      <c r="P305" s="147" t="inlineStr">
        <is>
          <t>已磷酸化</t>
        </is>
      </c>
      <c r="Q305" s="147" t="inlineStr">
        <is>
          <t>未环化</t>
        </is>
      </c>
      <c r="R305" s="147" t="inlineStr">
        <is>
          <t>B</t>
        </is>
      </c>
      <c r="S305" s="147" t="inlineStr">
        <is>
          <t>AE</t>
        </is>
      </c>
    </row>
    <row r="306" ht="30" customHeight="1" s="76">
      <c r="A306" s="152" t="n"/>
      <c r="B306" s="144" t="inlineStr">
        <is>
          <t>HGC-Lib-26097546</t>
        </is>
      </c>
      <c r="C306" s="144" t="n">
        <v>19.96</v>
      </c>
      <c r="D306" s="145" t="n">
        <v>88</v>
      </c>
      <c r="E306" s="146">
        <f>ROUND(D306/SUM(D298:D308)*IF(C306="",50,300.0),3)</f>
        <v/>
      </c>
      <c r="F306" s="146">
        <f>ROUND(E306/C306*G309,3)</f>
        <v/>
      </c>
      <c r="G306" s="144" t="inlineStr">
        <is>
          <t>华大-C4-转录组</t>
        </is>
      </c>
      <c r="H306" s="144" t="inlineStr">
        <is>
          <t>广州奥智生物科技有限公司</t>
        </is>
      </c>
      <c r="I306" s="146" t="n"/>
      <c r="J306" s="144" t="n"/>
      <c r="K306" s="144" t="n"/>
      <c r="L306" s="147" t="n"/>
      <c r="M306" s="147" t="n"/>
      <c r="N306" s="147" t="n">
        <v>19.96</v>
      </c>
      <c r="O306" s="147" t="inlineStr">
        <is>
          <t>华大单barcode文库</t>
        </is>
      </c>
      <c r="P306" s="147" t="inlineStr">
        <is>
          <t>已磷酸化</t>
        </is>
      </c>
      <c r="Q306" s="147" t="inlineStr">
        <is>
          <t>未环化</t>
        </is>
      </c>
      <c r="R306" s="147" t="inlineStr">
        <is>
          <t>A</t>
        </is>
      </c>
      <c r="S306" s="147" t="n"/>
    </row>
    <row r="307" ht="30" customHeight="1" s="76">
      <c r="A307" s="152" t="n"/>
      <c r="B307" s="144" t="inlineStr">
        <is>
          <t>HGC-Lib-26097547</t>
        </is>
      </c>
      <c r="C307" s="144" t="n">
        <v>20.48</v>
      </c>
      <c r="D307" s="145" t="n">
        <v>88</v>
      </c>
      <c r="E307" s="146">
        <f>ROUND(D307/SUM(D298:D308)*IF(C307="",50,300.0),3)</f>
        <v/>
      </c>
      <c r="F307" s="146">
        <f>ROUND(E307/C307*G309,3)</f>
        <v/>
      </c>
      <c r="G307" s="144" t="inlineStr">
        <is>
          <t>华大-C4-转录组</t>
        </is>
      </c>
      <c r="H307" s="144" t="inlineStr">
        <is>
          <t>广州奥智生物科技有限公司</t>
        </is>
      </c>
      <c r="I307" s="146" t="n"/>
      <c r="J307" s="144" t="n"/>
      <c r="K307" s="144" t="n"/>
      <c r="L307" s="147" t="n"/>
      <c r="M307" s="147" t="n"/>
      <c r="N307" s="147" t="n">
        <v>20.48</v>
      </c>
      <c r="O307" s="147" t="inlineStr">
        <is>
          <t>华大单barcode文库</t>
        </is>
      </c>
      <c r="P307" s="147" t="inlineStr">
        <is>
          <t>已磷酸化</t>
        </is>
      </c>
      <c r="Q307" s="147" t="inlineStr">
        <is>
          <t>未环化</t>
        </is>
      </c>
      <c r="R307" s="147" t="inlineStr">
        <is>
          <t>A</t>
        </is>
      </c>
      <c r="S307" s="147" t="n"/>
    </row>
    <row r="308" ht="30" customHeight="1" s="76">
      <c r="A308" s="153" t="n"/>
      <c r="B308" s="144" t="inlineStr">
        <is>
          <t>HGC-Lib-26097548</t>
        </is>
      </c>
      <c r="C308" s="144" t="n">
        <v>18.56</v>
      </c>
      <c r="D308" s="145" t="n">
        <v>88</v>
      </c>
      <c r="E308" s="146">
        <f>ROUND(D308/SUM(D298:D308)*IF(C308="",50,300.0),3)</f>
        <v/>
      </c>
      <c r="F308" s="146">
        <f>ROUND(E308/C308*G309,3)</f>
        <v/>
      </c>
      <c r="G308" s="144" t="inlineStr">
        <is>
          <t>华大-C4-转录组</t>
        </is>
      </c>
      <c r="H308" s="144" t="inlineStr">
        <is>
          <t>广州奥智生物科技有限公司</t>
        </is>
      </c>
      <c r="I308" s="146" t="n"/>
      <c r="J308" s="144" t="n"/>
      <c r="K308" s="144" t="n"/>
      <c r="L308" s="147" t="n"/>
      <c r="M308" s="147" t="n"/>
      <c r="N308" s="147" t="n">
        <v>18.56</v>
      </c>
      <c r="O308" s="147" t="inlineStr">
        <is>
          <t>华大单barcode文库</t>
        </is>
      </c>
      <c r="P308" s="147" t="inlineStr">
        <is>
          <t>已磷酸化</t>
        </is>
      </c>
      <c r="Q308" s="147" t="inlineStr">
        <is>
          <t>未环化</t>
        </is>
      </c>
      <c r="R308" s="147" t="inlineStr">
        <is>
          <t>B</t>
        </is>
      </c>
      <c r="S308" s="147" t="inlineStr">
        <is>
          <t>E</t>
        </is>
      </c>
    </row>
    <row r="309" ht="30" customHeight="1" s="76">
      <c r="A309" s="148" t="n"/>
      <c r="B309" s="147" t="n">
        <v>11</v>
      </c>
      <c r="C309" s="148" t="n"/>
      <c r="D309" s="149">
        <f>ROUND(SUM(D298:D308),2)</f>
        <v/>
      </c>
      <c r="E309" s="150">
        <f>ROUND(SUM(E298:E308),3)</f>
        <v/>
      </c>
      <c r="F309" s="150">
        <f>IF(G309&gt;1,ROUND(SUM(F298:F308)/G309*2,3),ROUND(SUM(F298:F308),3))</f>
        <v/>
      </c>
      <c r="G309" s="147" t="n">
        <v>1</v>
      </c>
      <c r="H309" s="148" t="n"/>
      <c r="I309" s="151">
        <f>ROUND(40-F309,3)</f>
        <v/>
      </c>
      <c r="J309" s="148" t="n"/>
      <c r="K309" s="148" t="n"/>
      <c r="L309" s="148" t="n"/>
      <c r="M309" s="147">
        <f>AVERAGE(M298:M308)</f>
        <v/>
      </c>
      <c r="N309" s="148" t="n"/>
      <c r="O309" s="148" t="n"/>
      <c r="P309" s="148" t="n"/>
      <c r="Q309" s="148" t="n"/>
      <c r="R309" s="148" t="n"/>
      <c r="S309" s="148" t="n"/>
    </row>
    <row r="310" ht="30" customHeight="1" s="76">
      <c r="A310" s="155" t="inlineStr">
        <is>
          <t>D10</t>
        </is>
      </c>
      <c r="B310" s="144" t="inlineStr">
        <is>
          <t>HGC-Lib-26097549</t>
        </is>
      </c>
      <c r="C310" s="144" t="n">
        <v>14.07</v>
      </c>
      <c r="D310" s="145" t="n">
        <v>88</v>
      </c>
      <c r="E310" s="146">
        <f>ROUND(D310/SUM(D310:D313)*IF(C310="",50,300.0),3)</f>
        <v/>
      </c>
      <c r="F310" s="146">
        <f>ROUND(E310/C310*G314,3)</f>
        <v/>
      </c>
      <c r="G310" s="144" t="inlineStr">
        <is>
          <t>华大-C4-转录组</t>
        </is>
      </c>
      <c r="H310" s="144" t="inlineStr">
        <is>
          <t>广州奥智生物科技有限公司</t>
        </is>
      </c>
      <c r="I310" s="146" t="n"/>
      <c r="J310" s="144" t="n"/>
      <c r="K310" s="144" t="n"/>
      <c r="L310" s="147" t="n"/>
      <c r="M310" s="147" t="n"/>
      <c r="N310" s="147" t="n">
        <v>14.07</v>
      </c>
      <c r="O310" s="147" t="inlineStr">
        <is>
          <t>华大单barcode文库</t>
        </is>
      </c>
      <c r="P310" s="147" t="inlineStr">
        <is>
          <t>已磷酸化</t>
        </is>
      </c>
      <c r="Q310" s="147" t="inlineStr">
        <is>
          <t>未环化</t>
        </is>
      </c>
      <c r="R310" s="147" t="inlineStr">
        <is>
          <t>B</t>
        </is>
      </c>
      <c r="S310" s="147" t="inlineStr">
        <is>
          <t>E</t>
        </is>
      </c>
    </row>
    <row r="311" ht="30" customHeight="1" s="76">
      <c r="A311" s="152" t="n"/>
      <c r="B311" s="144" t="inlineStr">
        <is>
          <t>HGC-Lib-26097550</t>
        </is>
      </c>
      <c r="C311" s="144" t="n">
        <v>14.46</v>
      </c>
      <c r="D311" s="145" t="n">
        <v>88</v>
      </c>
      <c r="E311" s="146">
        <f>ROUND(D311/SUM(D310:D313)*IF(C311="",50,300.0),3)</f>
        <v/>
      </c>
      <c r="F311" s="146">
        <f>ROUND(E311/C311*G314,3)</f>
        <v/>
      </c>
      <c r="G311" s="144" t="inlineStr">
        <is>
          <t>华大-C4-转录组</t>
        </is>
      </c>
      <c r="H311" s="144" t="inlineStr">
        <is>
          <t>广州奥智生物科技有限公司</t>
        </is>
      </c>
      <c r="I311" s="146" t="n"/>
      <c r="J311" s="144" t="n"/>
      <c r="K311" s="144" t="n"/>
      <c r="L311" s="147" t="n"/>
      <c r="M311" s="147" t="n"/>
      <c r="N311" s="147" t="n">
        <v>14.46</v>
      </c>
      <c r="O311" s="147" t="inlineStr">
        <is>
          <t>华大单barcode文库</t>
        </is>
      </c>
      <c r="P311" s="147" t="inlineStr">
        <is>
          <t>已磷酸化</t>
        </is>
      </c>
      <c r="Q311" s="147" t="inlineStr">
        <is>
          <t>未环化</t>
        </is>
      </c>
      <c r="R311" s="147" t="inlineStr">
        <is>
          <t>B</t>
        </is>
      </c>
      <c r="S311" s="147" t="inlineStr">
        <is>
          <t>E</t>
        </is>
      </c>
    </row>
    <row r="312" ht="30" customHeight="1" s="76">
      <c r="A312" s="152" t="n"/>
      <c r="B312" s="144" t="inlineStr">
        <is>
          <t>HGC-Lib-26097551</t>
        </is>
      </c>
      <c r="C312" s="144" t="n">
        <v>21.46</v>
      </c>
      <c r="D312" s="145" t="n">
        <v>88</v>
      </c>
      <c r="E312" s="146">
        <f>ROUND(D312/SUM(D310:D313)*IF(C312="",50,300.0),3)</f>
        <v/>
      </c>
      <c r="F312" s="146">
        <f>ROUND(E312/C312*G314,3)</f>
        <v/>
      </c>
      <c r="G312" s="144" t="inlineStr">
        <is>
          <t>华大-C4-转录组</t>
        </is>
      </c>
      <c r="H312" s="144" t="inlineStr">
        <is>
          <t>广州奥智生物科技有限公司</t>
        </is>
      </c>
      <c r="I312" s="146" t="n"/>
      <c r="J312" s="144" t="n"/>
      <c r="K312" s="144" t="n"/>
      <c r="L312" s="147" t="n"/>
      <c r="M312" s="147" t="n"/>
      <c r="N312" s="147" t="n">
        <v>21.46</v>
      </c>
      <c r="O312" s="147" t="inlineStr">
        <is>
          <t>华大单barcode文库</t>
        </is>
      </c>
      <c r="P312" s="147" t="inlineStr">
        <is>
          <t>已磷酸化</t>
        </is>
      </c>
      <c r="Q312" s="147" t="inlineStr">
        <is>
          <t>未环化</t>
        </is>
      </c>
      <c r="R312" s="147" t="inlineStr">
        <is>
          <t>A</t>
        </is>
      </c>
      <c r="S312" s="147" t="n"/>
    </row>
    <row r="313" ht="30" customHeight="1" s="76">
      <c r="A313" s="153" t="n"/>
      <c r="B313" s="144" t="inlineStr">
        <is>
          <t>HGC-Lib-26097552</t>
        </is>
      </c>
      <c r="C313" s="144" t="n">
        <v>15.69</v>
      </c>
      <c r="D313" s="145" t="n">
        <v>88</v>
      </c>
      <c r="E313" s="146">
        <f>ROUND(D313/SUM(D310:D313)*IF(C313="",50,300.0),3)</f>
        <v/>
      </c>
      <c r="F313" s="146">
        <f>ROUND(E313/C313*G314,3)</f>
        <v/>
      </c>
      <c r="G313" s="144" t="inlineStr">
        <is>
          <t>华大-C4-转录组</t>
        </is>
      </c>
      <c r="H313" s="144" t="inlineStr">
        <is>
          <t>广州奥智生物科技有限公司</t>
        </is>
      </c>
      <c r="I313" s="146" t="n"/>
      <c r="J313" s="144" t="n"/>
      <c r="K313" s="144" t="n"/>
      <c r="L313" s="147" t="n"/>
      <c r="M313" s="147" t="n"/>
      <c r="N313" s="147" t="n">
        <v>15.69</v>
      </c>
      <c r="O313" s="147" t="inlineStr">
        <is>
          <t>华大单barcode文库</t>
        </is>
      </c>
      <c r="P313" s="147" t="inlineStr">
        <is>
          <t>已磷酸化</t>
        </is>
      </c>
      <c r="Q313" s="147" t="inlineStr">
        <is>
          <t>未环化</t>
        </is>
      </c>
      <c r="R313" s="147" t="inlineStr">
        <is>
          <t>B</t>
        </is>
      </c>
      <c r="S313" s="147" t="inlineStr">
        <is>
          <t>E</t>
        </is>
      </c>
    </row>
    <row r="314" ht="30" customHeight="1" s="76">
      <c r="A314" s="148" t="n"/>
      <c r="B314" s="147" t="n">
        <v>4</v>
      </c>
      <c r="C314" s="148" t="n"/>
      <c r="D314" s="149">
        <f>ROUND(SUM(D310:D313),2)</f>
        <v/>
      </c>
      <c r="E314" s="150">
        <f>ROUND(SUM(E310:E313),3)</f>
        <v/>
      </c>
      <c r="F314" s="150">
        <f>IF(G314&gt;1,ROUND(SUM(F310:F313)/G314*2,3),ROUND(SUM(F310:F313),3))</f>
        <v/>
      </c>
      <c r="G314" s="147" t="n">
        <v>1</v>
      </c>
      <c r="H314" s="148" t="n"/>
      <c r="I314" s="151">
        <f>ROUND(40-F314,3)</f>
        <v/>
      </c>
      <c r="J314" s="148" t="n"/>
      <c r="K314" s="148" t="n"/>
      <c r="L314" s="148" t="n"/>
      <c r="M314" s="147">
        <f>AVERAGE(M310:M313)</f>
        <v/>
      </c>
      <c r="N314" s="148" t="n"/>
      <c r="O314" s="148" t="n"/>
      <c r="P314" s="148" t="n"/>
      <c r="Q314" s="148" t="n"/>
      <c r="R314" s="148" t="n"/>
      <c r="S314" s="148" t="n"/>
    </row>
  </sheetData>
  <mergeCells count="10">
    <mergeCell ref="A276:A279"/>
    <mergeCell ref="A298:A308"/>
    <mergeCell ref="A310:A313"/>
    <mergeCell ref="A265:A274"/>
    <mergeCell ref="A204:A263"/>
    <mergeCell ref="A10:A202"/>
    <mergeCell ref="A2:A8"/>
    <mergeCell ref="A287:A291"/>
    <mergeCell ref="A281:A285"/>
    <mergeCell ref="A293:A296"/>
  </mergeCells>
  <pageMargins left="0.75" right="0.75" top="1" bottom="1" header="0.5" footer="0.5"/>
  <pageSetup orientation="portrait" paperSize="9" scale="17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P44"/>
  <sheetViews>
    <sheetView zoomScale="70" zoomScaleNormal="70" workbookViewId="0">
      <pane ySplit="1" topLeftCell="A2" activePane="bottomLeft" state="frozen"/>
      <selection pane="bottomLeft" activeCell="M2" sqref="M2"/>
    </sheetView>
  </sheetViews>
  <sheetFormatPr baseColWidth="8" defaultColWidth="17.25" defaultRowHeight="20.1" customHeight="1"/>
  <cols>
    <col width="12" customWidth="1" style="20" min="1" max="1"/>
    <col width="8" customWidth="1" style="17" min="2" max="2"/>
    <col width="12" customWidth="1" style="94" min="3" max="3"/>
    <col width="29" customWidth="1" style="95" min="4" max="4"/>
    <col width="14" bestFit="1" customWidth="1" style="96" min="5" max="5"/>
    <col width="22" bestFit="1" customWidth="1" style="97" min="6" max="6"/>
    <col width="26" customWidth="1" style="97" min="7" max="7"/>
    <col width="26" customWidth="1" style="95" min="8" max="8"/>
    <col width="34" customWidth="1" style="98" min="9" max="9"/>
    <col width="27" customWidth="1" style="99" min="10" max="10"/>
    <col width="12" customWidth="1" style="17" min="11" max="11"/>
    <col width="12" customWidth="1" style="76" min="12" max="12"/>
    <col width="40" customWidth="1" style="17" min="13" max="13"/>
    <col width="4" customWidth="1" style="96" min="14" max="14"/>
    <col width="4" customWidth="1" style="17" min="15" max="15"/>
    <col width="4" customWidth="1" style="76" min="16" max="16"/>
    <col width="4" customWidth="1" style="17" min="17" max="17"/>
    <col width="17.25" customWidth="1" style="17" min="18" max="20"/>
    <col width="17.25" customWidth="1" style="17" min="21" max="16384"/>
  </cols>
  <sheetData>
    <row r="1" ht="40" customFormat="1" customHeight="1" s="16">
      <c r="A1" s="33" t="inlineStr">
        <is>
          <t>文库编号</t>
        </is>
      </c>
      <c r="B1" s="100" t="inlineStr">
        <is>
          <t>浓度</t>
        </is>
      </c>
      <c r="C1" s="101" t="inlineStr">
        <is>
          <t>主峰片段</t>
        </is>
      </c>
      <c r="D1" s="63" t="inlineStr">
        <is>
          <t>1pmol产物对应质量（ng）</t>
        </is>
      </c>
      <c r="E1" s="102" t="inlineStr">
        <is>
          <t>数据量（G)</t>
        </is>
      </c>
      <c r="F1" s="103" t="inlineStr">
        <is>
          <t>文库摩尔质量（nM）</t>
        </is>
      </c>
      <c r="G1" s="104" t="inlineStr">
        <is>
          <t>最终取样体积（ul）</t>
        </is>
      </c>
      <c r="H1" s="33" t="inlineStr">
        <is>
          <t>文库类型</t>
        </is>
      </c>
      <c r="I1" s="105" t="inlineStr">
        <is>
          <t>客户单位</t>
        </is>
      </c>
      <c r="J1" s="106" t="inlineStr">
        <is>
          <t>TE Buffer补充体积（uL）</t>
        </is>
      </c>
      <c r="K1" s="40" t="inlineStr">
        <is>
          <t>环化个数</t>
        </is>
      </c>
      <c r="L1" s="33" t="inlineStr">
        <is>
          <t>环化浓度</t>
        </is>
      </c>
      <c r="M1" s="33" t="inlineStr">
        <is>
          <t>环化效率</t>
        </is>
      </c>
      <c r="N1" s="54" t="n"/>
      <c r="O1" s="54" t="n"/>
      <c r="P1" s="54" t="n"/>
    </row>
    <row r="2" ht="30" customHeight="1" s="76">
      <c r="A2" s="144" t="inlineStr">
        <is>
          <t>B1</t>
        </is>
      </c>
      <c r="B2" s="156" t="n"/>
      <c r="C2" s="156" t="n"/>
      <c r="D2" s="145">
        <f>IF(C2="","",C2*0.66*1)</f>
        <v/>
      </c>
      <c r="E2" s="146" t="n">
        <v>800</v>
      </c>
      <c r="F2" s="146">
        <f>IF(B2="","",D2)</f>
        <v/>
      </c>
      <c r="G2" s="144">
        <f>IF(B2="","",F2/B2)</f>
        <v/>
      </c>
      <c r="H2" s="144" t="inlineStr">
        <is>
          <t>HIC文库</t>
        </is>
      </c>
      <c r="I2" s="146" t="inlineStr">
        <is>
          <t>安徽医科大学第一附属医院</t>
        </is>
      </c>
      <c r="J2" s="144">
        <f>IF(G2="","",40-G2)</f>
        <v/>
      </c>
      <c r="K2" s="156" t="n"/>
      <c r="L2" s="148" t="n"/>
      <c r="M2" s="147">
        <f>IF(OR(L2="",F2=""),"",22*L2/F2)</f>
        <v/>
      </c>
      <c r="N2" s="148" t="n"/>
      <c r="O2" s="148" t="n"/>
      <c r="P2" s="148" t="n"/>
    </row>
    <row r="3" ht="30" customHeight="1" s="76">
      <c r="A3" s="144" t="inlineStr">
        <is>
          <t>B2</t>
        </is>
      </c>
      <c r="B3" s="156" t="n"/>
      <c r="C3" s="156" t="n"/>
      <c r="D3" s="145">
        <f>IF(C3="","",C3*0.66*1)</f>
        <v/>
      </c>
      <c r="E3" s="146" t="n">
        <v>28</v>
      </c>
      <c r="F3" s="146">
        <f>IF(B3="","",D3)</f>
        <v/>
      </c>
      <c r="G3" s="144">
        <f>IF(B3="","",F3/B3)</f>
        <v/>
      </c>
      <c r="H3" s="144" t="inlineStr">
        <is>
          <t>10X-3-转录组</t>
        </is>
      </c>
      <c r="I3" s="146" t="inlineStr">
        <is>
          <t>广州奥智生物科技有限公司</t>
        </is>
      </c>
      <c r="J3" s="144">
        <f>IF(G3="","",40-G3)</f>
        <v/>
      </c>
      <c r="K3" s="156" t="n"/>
      <c r="L3" s="148" t="n"/>
      <c r="M3" s="147">
        <f>IF(OR(L3="",F3=""),"",22*L3/F3)</f>
        <v/>
      </c>
      <c r="N3" s="148" t="n"/>
      <c r="O3" s="148" t="n"/>
      <c r="P3" s="148" t="n"/>
    </row>
    <row r="4" ht="30" customHeight="1" s="76">
      <c r="A4" s="144" t="inlineStr">
        <is>
          <t>B3</t>
        </is>
      </c>
      <c r="B4" s="156" t="n"/>
      <c r="C4" s="156" t="n"/>
      <c r="D4" s="145">
        <f>IF(C4="","",C4*0.66*1)</f>
        <v/>
      </c>
      <c r="E4" s="146" t="n">
        <v>23</v>
      </c>
      <c r="F4" s="146">
        <f>IF(B4="","",D4)</f>
        <v/>
      </c>
      <c r="G4" s="144">
        <f>IF(B4="","",F4/B4)</f>
        <v/>
      </c>
      <c r="H4" s="144" t="inlineStr">
        <is>
          <t>10X-3-转录组</t>
        </is>
      </c>
      <c r="I4" s="146" t="inlineStr">
        <is>
          <t>广州奥智生物科技有限公司</t>
        </is>
      </c>
      <c r="J4" s="144">
        <f>IF(G4="","",40-G4)</f>
        <v/>
      </c>
      <c r="K4" s="156" t="n"/>
      <c r="L4" s="148" t="n"/>
      <c r="M4" s="147">
        <f>IF(OR(L4="",F4=""),"",22*L4/F4)</f>
        <v/>
      </c>
      <c r="N4" s="148" t="n"/>
      <c r="O4" s="148" t="n"/>
      <c r="P4" s="148" t="n"/>
    </row>
    <row r="5" ht="30" customHeight="1" s="76">
      <c r="A5" s="144" t="inlineStr">
        <is>
          <t>B4</t>
        </is>
      </c>
      <c r="B5" s="156" t="n"/>
      <c r="C5" s="156" t="n"/>
      <c r="D5" s="145">
        <f>IF(C5="","",C5*0.66*1)</f>
        <v/>
      </c>
      <c r="E5" s="146" t="n">
        <v>584</v>
      </c>
      <c r="F5" s="146">
        <f>IF(B5="","",D5)</f>
        <v/>
      </c>
      <c r="G5" s="144">
        <f>IF(B5="","",F5/B5)</f>
        <v/>
      </c>
      <c r="H5" s="144" t="inlineStr">
        <is>
          <t>宏基因组</t>
        </is>
      </c>
      <c r="I5" s="146" t="inlineStr">
        <is>
          <t>广州奥智生物科技有限公司</t>
        </is>
      </c>
      <c r="J5" s="144">
        <f>IF(G5="","",40-G5)</f>
        <v/>
      </c>
      <c r="K5" s="156" t="n"/>
      <c r="L5" s="148" t="n"/>
      <c r="M5" s="147">
        <f>IF(OR(L5="",F5=""),"",22*L5/F5)</f>
        <v/>
      </c>
      <c r="N5" s="148" t="n"/>
      <c r="O5" s="148" t="n"/>
      <c r="P5" s="148" t="n"/>
    </row>
    <row r="6" ht="30" customHeight="1" s="76">
      <c r="A6" s="144" t="inlineStr">
        <is>
          <t>B5</t>
        </is>
      </c>
      <c r="B6" s="156" t="n"/>
      <c r="C6" s="156" t="n"/>
      <c r="D6" s="145">
        <f>IF(C6="","",C6*0.66*1)</f>
        <v/>
      </c>
      <c r="E6" s="146" t="n">
        <v>45</v>
      </c>
      <c r="F6" s="146">
        <f>IF(B6="","",D6)</f>
        <v/>
      </c>
      <c r="G6" s="144">
        <f>IF(B6="","",F6/B6)</f>
        <v/>
      </c>
      <c r="H6" s="144" t="inlineStr">
        <is>
          <t>无参转录组（RNA-seq）</t>
        </is>
      </c>
      <c r="I6" s="146" t="inlineStr">
        <is>
          <t>广州奥智生物科技有限公司</t>
        </is>
      </c>
      <c r="J6" s="144">
        <f>IF(G6="","",40-G6)</f>
        <v/>
      </c>
      <c r="K6" s="156" t="n"/>
      <c r="L6" s="148" t="n"/>
      <c r="M6" s="147">
        <f>IF(OR(L6="",F6=""),"",22*L6/F6)</f>
        <v/>
      </c>
      <c r="N6" s="148" t="n"/>
      <c r="O6" s="148" t="n"/>
      <c r="P6" s="148" t="n"/>
    </row>
    <row r="7" ht="30" customHeight="1" s="76">
      <c r="A7" s="144" t="inlineStr">
        <is>
          <t>B6</t>
        </is>
      </c>
      <c r="B7" s="156" t="n"/>
      <c r="C7" s="156" t="n"/>
      <c r="D7" s="145">
        <f>IF(C7="","",C7*0.66*1)</f>
        <v/>
      </c>
      <c r="E7" s="146" t="n">
        <v>545</v>
      </c>
      <c r="F7" s="146">
        <f>IF(B7="","",D7)</f>
        <v/>
      </c>
      <c r="G7" s="144">
        <f>IF(B7="","",F7/B7)</f>
        <v/>
      </c>
      <c r="H7" s="144" t="inlineStr">
        <is>
          <t>有参转录组（RNA-seq）</t>
        </is>
      </c>
      <c r="I7" s="146" t="inlineStr">
        <is>
          <t>广州奥智生物科技有限公司</t>
        </is>
      </c>
      <c r="J7" s="144">
        <f>IF(G7="","",40-G7)</f>
        <v/>
      </c>
      <c r="K7" s="156" t="n"/>
      <c r="L7" s="148" t="n"/>
      <c r="M7" s="147">
        <f>IF(OR(L7="",F7=""),"",22*L7/F7)</f>
        <v/>
      </c>
      <c r="N7" s="148" t="n"/>
      <c r="O7" s="148" t="n"/>
      <c r="P7" s="148" t="n"/>
    </row>
    <row r="8" ht="30" customHeight="1" s="76">
      <c r="A8" s="144" t="inlineStr">
        <is>
          <t>B7</t>
        </is>
      </c>
      <c r="B8" s="156" t="n"/>
      <c r="C8" s="156" t="n"/>
      <c r="D8" s="145">
        <f>IF(C8="","",C8*0.66*1)</f>
        <v/>
      </c>
      <c r="E8" s="146" t="n">
        <v>30</v>
      </c>
      <c r="F8" s="146">
        <f>IF(B8="","",D8)</f>
        <v/>
      </c>
      <c r="G8" s="144">
        <f>IF(B8="","",F8/B8)</f>
        <v/>
      </c>
      <c r="H8" s="144" t="inlineStr">
        <is>
          <t>有参转录组（RNA-seq）</t>
        </is>
      </c>
      <c r="I8" s="146" t="inlineStr">
        <is>
          <t>广州奥智生物科技有限公司</t>
        </is>
      </c>
      <c r="J8" s="144">
        <f>IF(G8="","",40-G8)</f>
        <v/>
      </c>
      <c r="K8" s="156" t="n"/>
      <c r="L8" s="148" t="n"/>
      <c r="M8" s="147">
        <f>IF(OR(L8="",F8=""),"",22*L8/F8)</f>
        <v/>
      </c>
      <c r="N8" s="148" t="n"/>
      <c r="O8" s="148" t="n"/>
      <c r="P8" s="148" t="n"/>
    </row>
    <row r="9" ht="30" customHeight="1" s="76">
      <c r="A9" s="144" t="inlineStr">
        <is>
          <t>B8</t>
        </is>
      </c>
      <c r="B9" s="156" t="n"/>
      <c r="C9" s="156" t="n"/>
      <c r="D9" s="145">
        <f>IF(C9="","",C9*0.66*1)</f>
        <v/>
      </c>
      <c r="E9" s="146" t="n">
        <v>30</v>
      </c>
      <c r="F9" s="146">
        <f>IF(B9="","",D9)</f>
        <v/>
      </c>
      <c r="G9" s="144">
        <f>IF(B9="","",F9/B9)</f>
        <v/>
      </c>
      <c r="H9" s="144" t="inlineStr">
        <is>
          <t>singleron-3'转录组文库</t>
        </is>
      </c>
      <c r="I9" s="146" t="inlineStr">
        <is>
          <t>南京通元医学检验实验室有限公司</t>
        </is>
      </c>
      <c r="J9" s="144">
        <f>IF(G9="","",40-G9)</f>
        <v/>
      </c>
      <c r="K9" s="156" t="n"/>
      <c r="L9" s="148" t="n"/>
      <c r="M9" s="147">
        <f>IF(OR(L9="",F9=""),"",22*L9/F9)</f>
        <v/>
      </c>
      <c r="N9" s="148" t="n"/>
      <c r="O9" s="148" t="n"/>
      <c r="P9" s="148" t="n"/>
    </row>
    <row r="10" ht="30" customHeight="1" s="76">
      <c r="A10" s="144" t="inlineStr">
        <is>
          <t>B9</t>
        </is>
      </c>
      <c r="B10" s="156" t="n"/>
      <c r="C10" s="156" t="n"/>
      <c r="D10" s="145">
        <f>IF(C10="","",C10*0.66*1)</f>
        <v/>
      </c>
      <c r="E10" s="146" t="n">
        <v>100</v>
      </c>
      <c r="F10" s="146">
        <f>IF(B10="","",D10)</f>
        <v/>
      </c>
      <c r="G10" s="144">
        <f>IF(B10="","",F10/B10)</f>
        <v/>
      </c>
      <c r="H10" s="144" t="inlineStr">
        <is>
          <t>10x3′单细胞转录组</t>
        </is>
      </c>
      <c r="I10" s="146" t="inlineStr">
        <is>
          <t>广州承启生物科技有限公司</t>
        </is>
      </c>
      <c r="J10" s="144">
        <f>IF(G10="","",40-G10)</f>
        <v/>
      </c>
      <c r="K10" s="156" t="n"/>
      <c r="L10" s="148" t="n"/>
      <c r="M10" s="147">
        <f>IF(OR(L10="",F10=""),"",22*L10/F10)</f>
        <v/>
      </c>
      <c r="N10" s="148" t="n"/>
      <c r="O10" s="148" t="n"/>
      <c r="P10" s="148" t="n"/>
    </row>
    <row r="11" ht="30" customHeight="1" s="76">
      <c r="A11" s="144" t="inlineStr">
        <is>
          <t>B10</t>
        </is>
      </c>
      <c r="B11" s="156" t="n"/>
      <c r="C11" s="156" t="n"/>
      <c r="D11" s="145">
        <f>IF(C11="","",C11*0.66*1)</f>
        <v/>
      </c>
      <c r="E11" s="146" t="n">
        <v>135</v>
      </c>
      <c r="F11" s="146">
        <f>IF(B11="","",D11)</f>
        <v/>
      </c>
      <c r="G11" s="144">
        <f>IF(B11="","",F11/B11)</f>
        <v/>
      </c>
      <c r="H11" s="144" t="inlineStr">
        <is>
          <t>BD</t>
        </is>
      </c>
      <c r="I11" s="146" t="inlineStr">
        <is>
          <t>武汉瑞兴生物科技有限公司</t>
        </is>
      </c>
      <c r="J11" s="144">
        <f>IF(G11="","",40-G11)</f>
        <v/>
      </c>
      <c r="K11" s="156" t="n"/>
      <c r="L11" s="148" t="n"/>
      <c r="M11" s="147">
        <f>IF(OR(L11="",F11=""),"",22*L11/F11)</f>
        <v/>
      </c>
      <c r="N11" s="148" t="n"/>
      <c r="O11" s="148" t="n"/>
      <c r="P11" s="148" t="n"/>
    </row>
    <row r="12" ht="30" customHeight="1" s="76">
      <c r="A12" s="144" t="inlineStr">
        <is>
          <t>B11</t>
        </is>
      </c>
      <c r="B12" s="156" t="n"/>
      <c r="C12" s="156" t="n"/>
      <c r="D12" s="145">
        <f>IF(C12="","",C12*0.66*1)</f>
        <v/>
      </c>
      <c r="E12" s="146" t="n">
        <v>117</v>
      </c>
      <c r="F12" s="146">
        <f>IF(B12="","",D12)</f>
        <v/>
      </c>
      <c r="G12" s="144">
        <f>IF(B12="","",F12/B12)</f>
        <v/>
      </c>
      <c r="H12" s="144" t="inlineStr">
        <is>
          <t>BD-单细胞</t>
        </is>
      </c>
      <c r="I12" s="146" t="inlineStr">
        <is>
          <t>江西烈冰生物科技有限公司</t>
        </is>
      </c>
      <c r="J12" s="144">
        <f>IF(G12="","",40-G12)</f>
        <v/>
      </c>
      <c r="K12" s="156" t="n"/>
      <c r="L12" s="148" t="n"/>
      <c r="M12" s="147">
        <f>IF(OR(L12="",F12=""),"",22*L12/F12)</f>
        <v/>
      </c>
      <c r="N12" s="148" t="n"/>
      <c r="O12" s="148" t="n"/>
      <c r="P12" s="148" t="n"/>
    </row>
    <row r="13" ht="30" customHeight="1" s="76">
      <c r="A13" s="144" t="inlineStr">
        <is>
          <t>B12</t>
        </is>
      </c>
      <c r="B13" s="156" t="n"/>
      <c r="C13" s="156" t="n"/>
      <c r="D13" s="145">
        <f>IF(C13="","",C13*0.66*1)</f>
        <v/>
      </c>
      <c r="E13" s="146" t="n">
        <v>30</v>
      </c>
      <c r="F13" s="146">
        <f>IF(B13="","",D13)</f>
        <v/>
      </c>
      <c r="G13" s="144">
        <f>IF(B13="","",F13/B13)</f>
        <v/>
      </c>
      <c r="H13" s="144" t="inlineStr">
        <is>
          <t>BD</t>
        </is>
      </c>
      <c r="I13" s="146" t="inlineStr">
        <is>
          <t>武汉瑞兴生物科技有限公司</t>
        </is>
      </c>
      <c r="J13" s="144">
        <f>IF(G13="","",40-G13)</f>
        <v/>
      </c>
      <c r="K13" s="156" t="n"/>
      <c r="L13" s="148" t="n"/>
      <c r="M13" s="147">
        <f>IF(OR(L13="",F13=""),"",22*L13/F13)</f>
        <v/>
      </c>
      <c r="N13" s="148" t="n"/>
      <c r="O13" s="148" t="n"/>
      <c r="P13" s="148" t="n"/>
    </row>
    <row r="14" ht="30" customHeight="1" s="76">
      <c r="A14" s="144" t="inlineStr">
        <is>
          <t>B13</t>
        </is>
      </c>
      <c r="B14" s="156" t="n"/>
      <c r="C14" s="156" t="n"/>
      <c r="D14" s="145">
        <f>IF(C14="","",C14*0.66*1)</f>
        <v/>
      </c>
      <c r="E14" s="146" t="n">
        <v>0.5</v>
      </c>
      <c r="F14" s="146">
        <f>IF(B14="","",D14)</f>
        <v/>
      </c>
      <c r="G14" s="144">
        <f>IF(B14="","",F14/B14)</f>
        <v/>
      </c>
      <c r="H14" s="144" t="inlineStr">
        <is>
          <t>华大-C4-oligo</t>
        </is>
      </c>
      <c r="I14" s="146" t="inlineStr">
        <is>
          <t>广州奥智生物科技有限公司</t>
        </is>
      </c>
      <c r="J14" s="144">
        <f>IF(G14="","",40-G14)</f>
        <v/>
      </c>
      <c r="K14" s="156" t="n"/>
      <c r="L14" s="148" t="n"/>
      <c r="M14" s="147">
        <f>IF(OR(L14="",F14=""),"",22*L14/F14)</f>
        <v/>
      </c>
      <c r="N14" s="148" t="n"/>
      <c r="O14" s="148" t="n"/>
      <c r="P14" s="148" t="n"/>
    </row>
    <row r="15" ht="30" customHeight="1" s="76">
      <c r="A15" s="144" t="inlineStr">
        <is>
          <t>B14</t>
        </is>
      </c>
      <c r="B15" s="156" t="n"/>
      <c r="C15" s="156" t="n"/>
      <c r="D15" s="145">
        <f>IF(C15="","",C15*0.66*1)</f>
        <v/>
      </c>
      <c r="E15" s="146" t="n">
        <v>111.5</v>
      </c>
      <c r="F15" s="146">
        <f>IF(B15="","",D15)</f>
        <v/>
      </c>
      <c r="G15" s="144">
        <f>IF(B15="","",F15/B15)</f>
        <v/>
      </c>
      <c r="H15" s="144" t="inlineStr">
        <is>
          <t>华大-C4-转录组</t>
        </is>
      </c>
      <c r="I15" s="146" t="inlineStr">
        <is>
          <t>广州奥智生物科技有限公司</t>
        </is>
      </c>
      <c r="J15" s="144">
        <f>IF(G15="","",40-G15)</f>
        <v/>
      </c>
      <c r="K15" s="156" t="n"/>
      <c r="L15" s="148" t="n"/>
      <c r="M15" s="147">
        <f>IF(OR(L15="",F15=""),"",22*L15/F15)</f>
        <v/>
      </c>
      <c r="N15" s="148" t="n"/>
      <c r="O15" s="148" t="n"/>
      <c r="P15" s="148" t="n"/>
    </row>
    <row r="16" ht="30" customHeight="1" s="76">
      <c r="A16" s="144" t="inlineStr">
        <is>
          <t>B15</t>
        </is>
      </c>
      <c r="B16" s="156" t="n"/>
      <c r="C16" s="156" t="n"/>
      <c r="D16" s="145">
        <f>IF(C16="","",C16*0.66*1)</f>
        <v/>
      </c>
      <c r="E16" s="146" t="n">
        <v>846</v>
      </c>
      <c r="F16" s="146">
        <f>IF(B16="","",D16)</f>
        <v/>
      </c>
      <c r="G16" s="144">
        <f>IF(B16="","",F16/B16)</f>
        <v/>
      </c>
      <c r="H16" s="144" t="inlineStr">
        <is>
          <t>华大-C4-转录组</t>
        </is>
      </c>
      <c r="I16" s="146" t="inlineStr">
        <is>
          <t>广州奥智生物科技有限公司</t>
        </is>
      </c>
      <c r="J16" s="144">
        <f>IF(G16="","",40-G16)</f>
        <v/>
      </c>
      <c r="K16" s="156" t="n"/>
      <c r="L16" s="148" t="n"/>
      <c r="M16" s="147">
        <f>IF(OR(L16="",F16=""),"",22*L16/F16)</f>
        <v/>
      </c>
      <c r="N16" s="148" t="n"/>
      <c r="O16" s="148" t="n"/>
      <c r="P16" s="148" t="n"/>
    </row>
    <row r="17" ht="30" customHeight="1" s="76">
      <c r="A17" s="144" t="inlineStr">
        <is>
          <t>B16</t>
        </is>
      </c>
      <c r="B17" s="156" t="n"/>
      <c r="C17" s="156" t="n"/>
      <c r="D17" s="145">
        <f>IF(C17="","",C17*0.66*1)</f>
        <v/>
      </c>
      <c r="E17" s="146" t="n">
        <v>176</v>
      </c>
      <c r="F17" s="146">
        <f>IF(B17="","",D17)</f>
        <v/>
      </c>
      <c r="G17" s="144">
        <f>IF(B17="","",F17/B17)</f>
        <v/>
      </c>
      <c r="H17" s="144" t="inlineStr">
        <is>
          <t>华大-C4-转录组</t>
        </is>
      </c>
      <c r="I17" s="146" t="inlineStr">
        <is>
          <t>广州奥智生物科技有限公司</t>
        </is>
      </c>
      <c r="J17" s="144">
        <f>IF(G17="","",40-G17)</f>
        <v/>
      </c>
      <c r="K17" s="156" t="n"/>
      <c r="L17" s="148" t="n"/>
      <c r="M17" s="147">
        <f>IF(OR(L17="",F17=""),"",22*L17/F17)</f>
        <v/>
      </c>
      <c r="N17" s="148" t="n"/>
      <c r="O17" s="148" t="n"/>
      <c r="P17" s="148" t="n"/>
    </row>
    <row r="18" ht="30" customHeight="1" s="76">
      <c r="A18" s="144" t="inlineStr">
        <is>
          <t>B17</t>
        </is>
      </c>
      <c r="B18" s="156" t="n"/>
      <c r="C18" s="156" t="n"/>
      <c r="D18" s="145">
        <f>IF(C18="","",C18*0.66*1)</f>
        <v/>
      </c>
      <c r="E18" s="146" t="n">
        <v>35</v>
      </c>
      <c r="F18" s="146">
        <f>IF(B18="","",D18)</f>
        <v/>
      </c>
      <c r="G18" s="144">
        <f>IF(B18="","",F18/B18)</f>
        <v/>
      </c>
      <c r="H18" s="144" t="inlineStr">
        <is>
          <t>基因组文库</t>
        </is>
      </c>
      <c r="I18" s="146" t="inlineStr">
        <is>
          <t>武汉百易汇能生物科技有限公司</t>
        </is>
      </c>
      <c r="J18" s="144">
        <f>IF(G18="","",40-G18)</f>
        <v/>
      </c>
      <c r="K18" s="156" t="n"/>
      <c r="L18" s="148" t="n"/>
      <c r="M18" s="147">
        <f>IF(OR(L18="",F18=""),"",22*L18/F18)</f>
        <v/>
      </c>
      <c r="N18" s="148" t="n"/>
      <c r="O18" s="148" t="n"/>
      <c r="P18" s="148" t="n"/>
    </row>
    <row r="19" ht="30" customHeight="1" s="76">
      <c r="A19" s="144" t="inlineStr">
        <is>
          <t>B18</t>
        </is>
      </c>
      <c r="B19" s="156" t="n"/>
      <c r="C19" s="156" t="n"/>
      <c r="D19" s="145">
        <f>IF(C19="","",C19*0.66*1)</f>
        <v/>
      </c>
      <c r="E19" s="146" t="n">
        <v>28</v>
      </c>
      <c r="F19" s="146">
        <f>IF(B19="","",D19)</f>
        <v/>
      </c>
      <c r="G19" s="144">
        <f>IF(B19="","",F19/B19)</f>
        <v/>
      </c>
      <c r="H19" s="144" t="inlineStr">
        <is>
          <t>转录组文库</t>
        </is>
      </c>
      <c r="I19" s="146" t="inlineStr">
        <is>
          <t>武汉百易汇能生物科技有限公司</t>
        </is>
      </c>
      <c r="J19" s="144">
        <f>IF(G19="","",40-G19)</f>
        <v/>
      </c>
      <c r="K19" s="156" t="n"/>
      <c r="L19" s="148" t="n"/>
      <c r="M19" s="147">
        <f>IF(OR(L19="",F19=""),"",22*L19/F19)</f>
        <v/>
      </c>
      <c r="N19" s="148" t="n"/>
      <c r="O19" s="148" t="n"/>
      <c r="P19" s="148" t="n"/>
    </row>
    <row r="20" ht="30" customHeight="1" s="76">
      <c r="A20" s="148" t="n"/>
      <c r="B20" s="148" t="n"/>
      <c r="C20" s="148" t="n"/>
      <c r="D20" s="157" t="n"/>
      <c r="E20" s="158" t="n"/>
      <c r="F20" s="158" t="n"/>
      <c r="G20" s="148" t="n"/>
      <c r="H20" s="148" t="n"/>
      <c r="I20" s="158" t="n"/>
      <c r="J20" s="148" t="n"/>
      <c r="K20" s="148" t="n"/>
      <c r="L20" s="148" t="n"/>
      <c r="M20" s="148" t="n"/>
      <c r="N20" s="148" t="n"/>
      <c r="O20" s="148" t="n"/>
      <c r="P20" s="148" t="n"/>
    </row>
    <row r="21" ht="30" customHeight="1" s="76">
      <c r="A21" s="144" t="inlineStr">
        <is>
          <t>C1</t>
        </is>
      </c>
      <c r="B21" s="156" t="n"/>
      <c r="C21" s="156" t="n"/>
      <c r="D21" s="145">
        <f>IF(C21="","",C21*0.66*1)</f>
        <v/>
      </c>
      <c r="E21" s="146" t="n">
        <v>90</v>
      </c>
      <c r="F21" s="146">
        <f>IF(B21="","",D21)</f>
        <v/>
      </c>
      <c r="G21" s="144">
        <f>IF(B21="","",F21/B21)</f>
        <v/>
      </c>
      <c r="H21" s="144" t="inlineStr">
        <is>
          <t>10X-3-转录组</t>
        </is>
      </c>
      <c r="I21" s="146" t="inlineStr">
        <is>
          <t>广州奥智生物科技有限公司</t>
        </is>
      </c>
      <c r="J21" s="144">
        <f>IF(G21="","",40-G21)</f>
        <v/>
      </c>
      <c r="K21" s="156" t="n"/>
      <c r="L21" s="148" t="n"/>
      <c r="M21" s="147">
        <f>IF(OR(L21="",F21=""),"",22*L21/F21)</f>
        <v/>
      </c>
      <c r="N21" s="148" t="n"/>
      <c r="O21" s="148" t="n"/>
      <c r="P21" s="148" t="n"/>
    </row>
    <row r="22" ht="30" customHeight="1" s="76">
      <c r="A22" s="144" t="inlineStr">
        <is>
          <t>C2</t>
        </is>
      </c>
      <c r="B22" s="156" t="n"/>
      <c r="C22" s="156" t="n"/>
      <c r="D22" s="145">
        <f>IF(C22="","",C22*0.66*1)</f>
        <v/>
      </c>
      <c r="E22" s="146" t="n">
        <v>6</v>
      </c>
      <c r="F22" s="146">
        <f>IF(B22="","",D22)</f>
        <v/>
      </c>
      <c r="G22" s="144">
        <f>IF(B22="","",F22/B22)</f>
        <v/>
      </c>
      <c r="H22" s="144" t="inlineStr">
        <is>
          <t>10X-BCR</t>
        </is>
      </c>
      <c r="I22" s="146" t="inlineStr">
        <is>
          <t>广州奥智生物科技有限公司</t>
        </is>
      </c>
      <c r="J22" s="144">
        <f>IF(G22="","",40-G22)</f>
        <v/>
      </c>
      <c r="K22" s="156" t="n"/>
      <c r="L22" s="148" t="n"/>
      <c r="M22" s="147">
        <f>IF(OR(L22="",F22=""),"",22*L22/F22)</f>
        <v/>
      </c>
      <c r="N22" s="148" t="n"/>
      <c r="O22" s="148" t="n"/>
      <c r="P22" s="148" t="n"/>
    </row>
    <row r="23" ht="30" customHeight="1" s="76">
      <c r="A23" s="144" t="inlineStr">
        <is>
          <t>C3</t>
        </is>
      </c>
      <c r="B23" s="156" t="n"/>
      <c r="C23" s="156" t="n"/>
      <c r="D23" s="145">
        <f>IF(C23="","",C23*0.66*1)</f>
        <v/>
      </c>
      <c r="E23" s="146" t="n">
        <v>310</v>
      </c>
      <c r="F23" s="146">
        <f>IF(B23="","",D23)</f>
        <v/>
      </c>
      <c r="G23" s="144">
        <f>IF(B23="","",F23/B23)</f>
        <v/>
      </c>
      <c r="H23" s="144" t="inlineStr">
        <is>
          <t>有参转录组（RNA-seq）</t>
        </is>
      </c>
      <c r="I23" s="146" t="inlineStr">
        <is>
          <t>广州奥智生物科技有限公司</t>
        </is>
      </c>
      <c r="J23" s="144">
        <f>IF(G23="","",40-G23)</f>
        <v/>
      </c>
      <c r="K23" s="156" t="n"/>
      <c r="L23" s="148" t="n"/>
      <c r="M23" s="147">
        <f>IF(OR(L23="",F23=""),"",22*L23/F23)</f>
        <v/>
      </c>
      <c r="N23" s="148" t="n"/>
      <c r="O23" s="148" t="n"/>
      <c r="P23" s="148" t="n"/>
    </row>
    <row r="24" ht="30" customHeight="1" s="76">
      <c r="A24" s="144" t="inlineStr">
        <is>
          <t>C4</t>
        </is>
      </c>
      <c r="B24" s="156" t="n"/>
      <c r="C24" s="156" t="n"/>
      <c r="D24" s="145">
        <f>IF(C24="","",C24*0.66*1)</f>
        <v/>
      </c>
      <c r="E24" s="146" t="n">
        <v>12</v>
      </c>
      <c r="F24" s="146">
        <f>IF(B24="","",D24)</f>
        <v/>
      </c>
      <c r="G24" s="144">
        <f>IF(B24="","",F24/B24)</f>
        <v/>
      </c>
      <c r="H24" s="144" t="inlineStr">
        <is>
          <t>mRNA-T7</t>
        </is>
      </c>
      <c r="I24" s="146" t="inlineStr">
        <is>
          <t>南华大学</t>
        </is>
      </c>
      <c r="J24" s="144">
        <f>IF(G24="","",40-G24)</f>
        <v/>
      </c>
      <c r="K24" s="156" t="n"/>
      <c r="L24" s="148" t="n"/>
      <c r="M24" s="147">
        <f>IF(OR(L24="",F24=""),"",22*L24/F24)</f>
        <v/>
      </c>
      <c r="N24" s="148" t="n"/>
      <c r="O24" s="148" t="n"/>
      <c r="P24" s="148" t="n"/>
    </row>
    <row r="25" ht="30" customHeight="1" s="76">
      <c r="A25" s="144" t="inlineStr">
        <is>
          <t>C5</t>
        </is>
      </c>
      <c r="B25" s="156" t="n"/>
      <c r="C25" s="156" t="n"/>
      <c r="D25" s="145">
        <f>IF(C25="","",C25*0.66*1)</f>
        <v/>
      </c>
      <c r="E25" s="146" t="n">
        <v>800</v>
      </c>
      <c r="F25" s="146">
        <f>IF(B25="","",D25)</f>
        <v/>
      </c>
      <c r="G25" s="144">
        <f>IF(B25="","",F25/B25)</f>
        <v/>
      </c>
      <c r="H25" s="144" t="inlineStr">
        <is>
          <t>HIC文库</t>
        </is>
      </c>
      <c r="I25" s="146" t="inlineStr">
        <is>
          <t>安徽医科大学第一附属医院</t>
        </is>
      </c>
      <c r="J25" s="144">
        <f>IF(G25="","",40-G25)</f>
        <v/>
      </c>
      <c r="K25" s="156" t="n"/>
      <c r="L25" s="148" t="n"/>
      <c r="M25" s="147">
        <f>IF(OR(L25="",F25=""),"",22*L25/F25)</f>
        <v/>
      </c>
      <c r="N25" s="148" t="n"/>
      <c r="O25" s="148" t="n"/>
      <c r="P25" s="148" t="n"/>
    </row>
    <row r="26" ht="30" customHeight="1" s="76">
      <c r="A26" s="144" t="inlineStr">
        <is>
          <t>C6</t>
        </is>
      </c>
      <c r="B26" s="156" t="n"/>
      <c r="C26" s="156" t="n"/>
      <c r="D26" s="145">
        <f>IF(C26="","",C26*0.66*1)</f>
        <v/>
      </c>
      <c r="E26" s="146" t="n">
        <v>360</v>
      </c>
      <c r="F26" s="146">
        <f>IF(B26="","",D26)</f>
        <v/>
      </c>
      <c r="G26" s="144">
        <f>IF(B26="","",F26/B26)</f>
        <v/>
      </c>
      <c r="H26" s="144" t="inlineStr">
        <is>
          <t>WGS</t>
        </is>
      </c>
      <c r="I26" s="146" t="inlineStr">
        <is>
          <t>深圳市艾斯基因科技有限公司</t>
        </is>
      </c>
      <c r="J26" s="144">
        <f>IF(G26="","",40-G26)</f>
        <v/>
      </c>
      <c r="K26" s="156" t="n"/>
      <c r="L26" s="148" t="n"/>
      <c r="M26" s="147">
        <f>IF(OR(L26="",F26=""),"",22*L26/F26)</f>
        <v/>
      </c>
      <c r="N26" s="148" t="n"/>
      <c r="O26" s="148" t="n"/>
      <c r="P26" s="148" t="n"/>
    </row>
    <row r="27" ht="30" customHeight="1" s="76">
      <c r="A27" s="144" t="inlineStr">
        <is>
          <t>C7</t>
        </is>
      </c>
      <c r="B27" s="156" t="n"/>
      <c r="C27" s="156" t="n"/>
      <c r="D27" s="145">
        <f>IF(C27="","",C27*0.66*1)</f>
        <v/>
      </c>
      <c r="E27" s="146" t="n">
        <v>204</v>
      </c>
      <c r="F27" s="146">
        <f>IF(B27="","",D27)</f>
        <v/>
      </c>
      <c r="G27" s="144">
        <f>IF(B27="","",F27/B27)</f>
        <v/>
      </c>
      <c r="H27" s="144" t="inlineStr">
        <is>
          <t>mRNA-T7</t>
        </is>
      </c>
      <c r="I27" s="146" t="inlineStr">
        <is>
          <t>南华大学附属第二医院</t>
        </is>
      </c>
      <c r="J27" s="144">
        <f>IF(G27="","",40-G27)</f>
        <v/>
      </c>
      <c r="K27" s="156" t="n"/>
      <c r="L27" s="148" t="n"/>
      <c r="M27" s="147">
        <f>IF(OR(L27="",F27=""),"",22*L27/F27)</f>
        <v/>
      </c>
      <c r="N27" s="148" t="n"/>
      <c r="O27" s="148" t="n"/>
      <c r="P27" s="148" t="n"/>
    </row>
    <row r="28" ht="30" customHeight="1" s="76">
      <c r="A28" s="144" t="inlineStr">
        <is>
          <t>C8</t>
        </is>
      </c>
      <c r="B28" s="156" t="n"/>
      <c r="C28" s="156" t="n"/>
      <c r="D28" s="145">
        <f>IF(C28="","",C28*0.66*1)</f>
        <v/>
      </c>
      <c r="E28" s="146" t="n">
        <v>162</v>
      </c>
      <c r="F28" s="146">
        <f>IF(B28="","",D28)</f>
        <v/>
      </c>
      <c r="G28" s="144">
        <f>IF(B28="","",F28/B28)</f>
        <v/>
      </c>
      <c r="H28" s="144" t="inlineStr">
        <is>
          <t>mRNA-T7</t>
        </is>
      </c>
      <c r="I28" s="146" t="inlineStr">
        <is>
          <t>南方医科大学南方医院</t>
        </is>
      </c>
      <c r="J28" s="144">
        <f>IF(G28="","",40-G28)</f>
        <v/>
      </c>
      <c r="K28" s="156" t="n"/>
      <c r="L28" s="148" t="n"/>
      <c r="M28" s="147">
        <f>IF(OR(L28="",F28=""),"",22*L28/F28)</f>
        <v/>
      </c>
      <c r="N28" s="148" t="n"/>
      <c r="O28" s="148" t="n"/>
      <c r="P28" s="148" t="n"/>
    </row>
    <row r="29" ht="30" customHeight="1" s="76">
      <c r="A29" s="144" t="inlineStr">
        <is>
          <t>C9</t>
        </is>
      </c>
      <c r="B29" s="156" t="n"/>
      <c r="C29" s="156" t="n"/>
      <c r="D29" s="145">
        <f>IF(C29="","",C29*0.66*1)</f>
        <v/>
      </c>
      <c r="E29" s="146" t="n">
        <v>14</v>
      </c>
      <c r="F29" s="146">
        <f>IF(B29="","",D29)</f>
        <v/>
      </c>
      <c r="G29" s="144">
        <f>IF(B29="","",F29/B29)</f>
        <v/>
      </c>
      <c r="H29" s="144" t="inlineStr">
        <is>
          <t>华大-C4-oligo</t>
        </is>
      </c>
      <c r="I29" s="146" t="inlineStr">
        <is>
          <t>广州奥智生物科技有限公司</t>
        </is>
      </c>
      <c r="J29" s="144">
        <f>IF(G29="","",40-G29)</f>
        <v/>
      </c>
      <c r="K29" s="156" t="n"/>
      <c r="L29" s="148" t="n"/>
      <c r="M29" s="147">
        <f>IF(OR(L29="",F29=""),"",22*L29/F29)</f>
        <v/>
      </c>
      <c r="N29" s="148" t="n"/>
      <c r="O29" s="148" t="n"/>
      <c r="P29" s="148" t="n"/>
    </row>
    <row r="30" ht="30" customHeight="1" s="76">
      <c r="A30" s="144" t="inlineStr">
        <is>
          <t>C10</t>
        </is>
      </c>
      <c r="B30" s="156" t="n"/>
      <c r="C30" s="156" t="n"/>
      <c r="D30" s="145">
        <f>IF(C30="","",C30*0.66*1)</f>
        <v/>
      </c>
      <c r="E30" s="146" t="n">
        <v>916</v>
      </c>
      <c r="F30" s="146">
        <f>IF(B30="","",D30)</f>
        <v/>
      </c>
      <c r="G30" s="144">
        <f>IF(B30="","",F30/B30)</f>
        <v/>
      </c>
      <c r="H30" s="144" t="inlineStr">
        <is>
          <t>华大-C4-转录组</t>
        </is>
      </c>
      <c r="I30" s="146" t="inlineStr">
        <is>
          <t>广州奥智生物科技有限公司</t>
        </is>
      </c>
      <c r="J30" s="144">
        <f>IF(G30="","",40-G30)</f>
        <v/>
      </c>
      <c r="K30" s="156" t="n"/>
      <c r="L30" s="148" t="n"/>
      <c r="M30" s="147">
        <f>IF(OR(L30="",F30=""),"",22*L30/F30)</f>
        <v/>
      </c>
      <c r="N30" s="148" t="n"/>
      <c r="O30" s="148" t="n"/>
      <c r="P30" s="148" t="n"/>
    </row>
    <row r="31" ht="30" customHeight="1" s="76">
      <c r="A31" s="144" t="inlineStr">
        <is>
          <t>C11</t>
        </is>
      </c>
      <c r="B31" s="156" t="n"/>
      <c r="C31" s="156" t="n"/>
      <c r="D31" s="145">
        <f>IF(C31="","",C31*0.66*1)</f>
        <v/>
      </c>
      <c r="E31" s="146" t="n">
        <v>528</v>
      </c>
      <c r="F31" s="146">
        <f>IF(B31="","",D31)</f>
        <v/>
      </c>
      <c r="G31" s="144">
        <f>IF(B31="","",F31/B31)</f>
        <v/>
      </c>
      <c r="H31" s="144" t="inlineStr">
        <is>
          <t>华大-C4-转录组</t>
        </is>
      </c>
      <c r="I31" s="146" t="inlineStr">
        <is>
          <t>广州奥智生物科技有限公司</t>
        </is>
      </c>
      <c r="J31" s="144">
        <f>IF(G31="","",40-G31)</f>
        <v/>
      </c>
      <c r="K31" s="156" t="n"/>
      <c r="L31" s="148" t="n"/>
      <c r="M31" s="147">
        <f>IF(OR(L31="",F31=""),"",22*L31/F31)</f>
        <v/>
      </c>
      <c r="N31" s="148" t="n"/>
      <c r="O31" s="148" t="n"/>
      <c r="P31" s="148" t="n"/>
    </row>
    <row r="32" ht="30" customHeight="1" s="76">
      <c r="A32" s="144" t="inlineStr">
        <is>
          <t>C12</t>
        </is>
      </c>
      <c r="B32" s="156" t="n"/>
      <c r="C32" s="156" t="n"/>
      <c r="D32" s="145">
        <f>IF(C32="","",C32*0.66*1)</f>
        <v/>
      </c>
      <c r="E32" s="146" t="n">
        <v>150</v>
      </c>
      <c r="F32" s="146">
        <f>IF(B32="","",D32)</f>
        <v/>
      </c>
      <c r="G32" s="144">
        <f>IF(B32="","",F32/B32)</f>
        <v/>
      </c>
      <c r="H32" s="144" t="inlineStr">
        <is>
          <t>基因组文库</t>
        </is>
      </c>
      <c r="I32" s="146" t="inlineStr">
        <is>
          <t>武汉百易汇能生物科技有限公司</t>
        </is>
      </c>
      <c r="J32" s="144">
        <f>IF(G32="","",40-G32)</f>
        <v/>
      </c>
      <c r="K32" s="156" t="n"/>
      <c r="L32" s="148" t="n"/>
      <c r="M32" s="147">
        <f>IF(OR(L32="",F32=""),"",22*L32/F32)</f>
        <v/>
      </c>
      <c r="N32" s="148" t="n"/>
      <c r="O32" s="148" t="n"/>
      <c r="P32" s="148" t="n"/>
    </row>
    <row r="33" ht="30" customHeight="1" s="76">
      <c r="A33" s="144" t="inlineStr">
        <is>
          <t>C13</t>
        </is>
      </c>
      <c r="B33" s="156" t="n"/>
      <c r="C33" s="156" t="n"/>
      <c r="D33" s="145">
        <f>IF(C33="","",C33*0.66*1)</f>
        <v/>
      </c>
      <c r="E33" s="146" t="n">
        <v>96</v>
      </c>
      <c r="F33" s="146">
        <f>IF(B33="","",D33)</f>
        <v/>
      </c>
      <c r="G33" s="144">
        <f>IF(B33="","",F33/B33)</f>
        <v/>
      </c>
      <c r="H33" s="144" t="inlineStr">
        <is>
          <t>转录组文库</t>
        </is>
      </c>
      <c r="I33" s="146" t="inlineStr">
        <is>
          <t>武汉百易汇能生物科技有限公司</t>
        </is>
      </c>
      <c r="J33" s="144">
        <f>IF(G33="","",40-G33)</f>
        <v/>
      </c>
      <c r="K33" s="156" t="n"/>
      <c r="L33" s="148" t="n"/>
      <c r="M33" s="147">
        <f>IF(OR(L33="",F33=""),"",22*L33/F33)</f>
        <v/>
      </c>
      <c r="N33" s="148" t="n"/>
      <c r="O33" s="148" t="n"/>
      <c r="P33" s="148" t="n"/>
    </row>
    <row r="34" ht="30" customHeight="1" s="76">
      <c r="A34" s="148" t="n"/>
      <c r="B34" s="148" t="n"/>
      <c r="C34" s="148" t="n"/>
      <c r="D34" s="157" t="n"/>
      <c r="E34" s="158" t="n"/>
      <c r="F34" s="158" t="n"/>
      <c r="G34" s="148" t="n"/>
      <c r="H34" s="148" t="n"/>
      <c r="I34" s="158" t="n"/>
      <c r="J34" s="148" t="n"/>
      <c r="K34" s="148" t="n"/>
      <c r="L34" s="148" t="n"/>
      <c r="M34" s="148" t="n"/>
      <c r="N34" s="148" t="n"/>
      <c r="O34" s="148" t="n"/>
      <c r="P34" s="148" t="n"/>
    </row>
    <row r="35" ht="30" customHeight="1" s="76">
      <c r="A35" s="144" t="inlineStr">
        <is>
          <t>D1</t>
        </is>
      </c>
      <c r="B35" s="156" t="n"/>
      <c r="C35" s="156" t="n"/>
      <c r="D35" s="145">
        <f>IF(C35="","",C35*0.66*1)</f>
        <v/>
      </c>
      <c r="E35" s="146" t="n">
        <v>35</v>
      </c>
      <c r="F35" s="146">
        <f>IF(B35="","",D35)</f>
        <v/>
      </c>
      <c r="G35" s="144">
        <f>IF(B35="","",F35/B35)</f>
        <v/>
      </c>
      <c r="H35" s="144" t="inlineStr">
        <is>
          <t>有参转录组（RNA-seq）</t>
        </is>
      </c>
      <c r="I35" s="146" t="inlineStr">
        <is>
          <t>广州奥智生物科技有限公司</t>
        </is>
      </c>
      <c r="J35" s="144">
        <f>IF(G35="","",40-G35)</f>
        <v/>
      </c>
      <c r="K35" s="156" t="n"/>
      <c r="L35" s="148" t="n"/>
      <c r="M35" s="147">
        <f>IF(OR(L35="",F35=""),"",22*L35/F35)</f>
        <v/>
      </c>
      <c r="N35" s="148" t="n"/>
      <c r="O35" s="148" t="n"/>
      <c r="P35" s="148" t="n"/>
    </row>
    <row r="36" ht="30" customHeight="1" s="76">
      <c r="A36" s="144" t="inlineStr">
        <is>
          <t>D2</t>
        </is>
      </c>
      <c r="B36" s="156" t="n"/>
      <c r="C36" s="156" t="n"/>
      <c r="D36" s="145">
        <f>IF(C36="","",C36*0.66*1)</f>
        <v/>
      </c>
      <c r="E36" s="146" t="n">
        <v>965</v>
      </c>
      <c r="F36" s="146">
        <f>IF(B36="","",D36)</f>
        <v/>
      </c>
      <c r="G36" s="144">
        <f>IF(B36="","",F36/B36)</f>
        <v/>
      </c>
      <c r="H36" s="144" t="inlineStr">
        <is>
          <t>有参转录组（RNA-seq）</t>
        </is>
      </c>
      <c r="I36" s="146" t="inlineStr">
        <is>
          <t>广州奥智生物科技有限公司</t>
        </is>
      </c>
      <c r="J36" s="144">
        <f>IF(G36="","",40-G36)</f>
        <v/>
      </c>
      <c r="K36" s="156" t="n"/>
      <c r="L36" s="148" t="n"/>
      <c r="M36" s="147">
        <f>IF(OR(L36="",F36=""),"",22*L36/F36)</f>
        <v/>
      </c>
      <c r="N36" s="148" t="n"/>
      <c r="O36" s="148" t="n"/>
      <c r="P36" s="148" t="n"/>
    </row>
    <row r="37" ht="30" customHeight="1" s="76">
      <c r="A37" s="144" t="inlineStr">
        <is>
          <t>D3</t>
        </is>
      </c>
      <c r="B37" s="156" t="n"/>
      <c r="C37" s="156" t="n"/>
      <c r="D37" s="145">
        <f>IF(C37="","",C37*0.66*1)</f>
        <v/>
      </c>
      <c r="E37" s="146" t="n">
        <v>300</v>
      </c>
      <c r="F37" s="146">
        <f>IF(B37="","",D37)</f>
        <v/>
      </c>
      <c r="G37" s="144">
        <f>IF(B37="","",F37/B37)</f>
        <v/>
      </c>
      <c r="H37" s="144" t="inlineStr">
        <is>
          <t>有参转录组（RNA-seq）</t>
        </is>
      </c>
      <c r="I37" s="146" t="inlineStr">
        <is>
          <t>广州奥智生物科技有限公司</t>
        </is>
      </c>
      <c r="J37" s="144">
        <f>IF(G37="","",40-G37)</f>
        <v/>
      </c>
      <c r="K37" s="156" t="n"/>
      <c r="L37" s="148" t="n"/>
      <c r="M37" s="147">
        <f>IF(OR(L37="",F37=""),"",22*L37/F37)</f>
        <v/>
      </c>
      <c r="N37" s="148" t="n"/>
      <c r="O37" s="148" t="n"/>
      <c r="P37" s="148" t="n"/>
    </row>
    <row r="38" ht="30" customHeight="1" s="76">
      <c r="A38" s="144" t="inlineStr">
        <is>
          <t>D4</t>
        </is>
      </c>
      <c r="B38" s="156" t="n"/>
      <c r="C38" s="156" t="n"/>
      <c r="D38" s="145">
        <f>IF(C38="","",C38*0.66*1)</f>
        <v/>
      </c>
      <c r="E38" s="146" t="n">
        <v>50</v>
      </c>
      <c r="F38" s="146">
        <f>IF(B38="","",D38)</f>
        <v/>
      </c>
      <c r="G38" s="144">
        <f>IF(B38="","",F38/B38)</f>
        <v/>
      </c>
      <c r="H38" s="144" t="inlineStr">
        <is>
          <t>有参转录组（RNA-seq）</t>
        </is>
      </c>
      <c r="I38" s="146" t="inlineStr">
        <is>
          <t>广州基迪奥科技服务有限公司</t>
        </is>
      </c>
      <c r="J38" s="144">
        <f>IF(G38="","",40-G38)</f>
        <v/>
      </c>
      <c r="K38" s="156" t="n"/>
      <c r="L38" s="148" t="n"/>
      <c r="M38" s="147">
        <f>IF(OR(L38="",F38=""),"",22*L38/F38)</f>
        <v/>
      </c>
      <c r="N38" s="148" t="n"/>
      <c r="O38" s="148" t="n"/>
      <c r="P38" s="148" t="n"/>
    </row>
    <row r="39" ht="30" customHeight="1" s="76">
      <c r="A39" s="144" t="inlineStr">
        <is>
          <t>D5</t>
        </is>
      </c>
      <c r="B39" s="156" t="n"/>
      <c r="C39" s="156" t="n"/>
      <c r="D39" s="145">
        <f>IF(C39="","",C39*0.66*1)</f>
        <v/>
      </c>
      <c r="E39" s="146" t="n">
        <v>80</v>
      </c>
      <c r="F39" s="146">
        <f>IF(B39="","",D39)</f>
        <v/>
      </c>
      <c r="G39" s="144">
        <f>IF(B39="","",F39/B39)</f>
        <v/>
      </c>
      <c r="H39" s="144" t="inlineStr">
        <is>
          <t>其他</t>
        </is>
      </c>
      <c r="I39" s="146" t="inlineStr">
        <is>
          <t>广州新蓝基因科技有限公司</t>
        </is>
      </c>
      <c r="J39" s="144">
        <f>IF(G39="","",40-G39)</f>
        <v/>
      </c>
      <c r="K39" s="156" t="n"/>
      <c r="L39" s="148" t="n"/>
      <c r="M39" s="147">
        <f>IF(OR(L39="",F39=""),"",22*L39/F39)</f>
        <v/>
      </c>
      <c r="N39" s="148" t="n"/>
      <c r="O39" s="148" t="n"/>
      <c r="P39" s="148" t="n"/>
    </row>
    <row r="40" ht="30" customHeight="1" s="76">
      <c r="A40" s="144" t="inlineStr">
        <is>
          <t>D6</t>
        </is>
      </c>
      <c r="B40" s="156" t="n"/>
      <c r="C40" s="156" t="n"/>
      <c r="D40" s="145">
        <f>IF(C40="","",C40*0.66*1)</f>
        <v/>
      </c>
      <c r="E40" s="146" t="n">
        <v>450</v>
      </c>
      <c r="F40" s="146">
        <f>IF(B40="","",D40)</f>
        <v/>
      </c>
      <c r="G40" s="144">
        <f>IF(B40="","",F40/B40)</f>
        <v/>
      </c>
      <c r="H40" s="144" t="inlineStr">
        <is>
          <t>WGS</t>
        </is>
      </c>
      <c r="I40" s="146" t="inlineStr">
        <is>
          <t>深圳市艾斯基因科技有限公司</t>
        </is>
      </c>
      <c r="J40" s="144">
        <f>IF(G40="","",40-G40)</f>
        <v/>
      </c>
      <c r="K40" s="156" t="n"/>
      <c r="L40" s="148" t="n"/>
      <c r="M40" s="147">
        <f>IF(OR(L40="",F40=""),"",22*L40/F40)</f>
        <v/>
      </c>
      <c r="N40" s="148" t="n"/>
      <c r="O40" s="148" t="n"/>
      <c r="P40" s="148" t="n"/>
    </row>
    <row r="41" ht="30" customHeight="1" s="76">
      <c r="A41" s="144" t="inlineStr">
        <is>
          <t>D7</t>
        </is>
      </c>
      <c r="B41" s="156" t="n"/>
      <c r="C41" s="156" t="n"/>
      <c r="D41" s="145">
        <f>IF(C41="","",C41*0.66*1)</f>
        <v/>
      </c>
      <c r="E41" s="146" t="n">
        <v>450</v>
      </c>
      <c r="F41" s="146">
        <f>IF(B41="","",D41)</f>
        <v/>
      </c>
      <c r="G41" s="144">
        <f>IF(B41="","",F41/B41)</f>
        <v/>
      </c>
      <c r="H41" s="144" t="inlineStr">
        <is>
          <t>WGS</t>
        </is>
      </c>
      <c r="I41" s="146" t="inlineStr">
        <is>
          <t>深圳市艾斯基因科技有限公司</t>
        </is>
      </c>
      <c r="J41" s="144">
        <f>IF(G41="","",40-G41)</f>
        <v/>
      </c>
      <c r="K41" s="156" t="n"/>
      <c r="L41" s="148" t="n"/>
      <c r="M41" s="147">
        <f>IF(OR(L41="",F41=""),"",22*L41/F41)</f>
        <v/>
      </c>
      <c r="N41" s="148" t="n"/>
      <c r="O41" s="148" t="n"/>
      <c r="P41" s="148" t="n"/>
    </row>
    <row r="42" ht="30" customHeight="1" s="76">
      <c r="A42" s="144" t="inlineStr">
        <is>
          <t>D8</t>
        </is>
      </c>
      <c r="B42" s="156" t="n"/>
      <c r="C42" s="156" t="n"/>
      <c r="D42" s="145">
        <f>IF(C42="","",C42*0.66*1)</f>
        <v/>
      </c>
      <c r="E42" s="146" t="n">
        <v>8</v>
      </c>
      <c r="F42" s="146">
        <f>IF(B42="","",D42)</f>
        <v/>
      </c>
      <c r="G42" s="144">
        <f>IF(B42="","",F42/B42)</f>
        <v/>
      </c>
      <c r="H42" s="144" t="inlineStr">
        <is>
          <t>华大-C4-oligo</t>
        </is>
      </c>
      <c r="I42" s="146" t="inlineStr">
        <is>
          <t>广州奥智生物科技有限公司</t>
        </is>
      </c>
      <c r="J42" s="144">
        <f>IF(G42="","",40-G42)</f>
        <v/>
      </c>
      <c r="K42" s="156" t="n"/>
      <c r="L42" s="148" t="n"/>
      <c r="M42" s="147">
        <f>IF(OR(L42="",F42=""),"",22*L42/F42)</f>
        <v/>
      </c>
      <c r="N42" s="148" t="n"/>
      <c r="O42" s="148" t="n"/>
      <c r="P42" s="148" t="n"/>
    </row>
    <row r="43" ht="30" customHeight="1" s="76">
      <c r="A43" s="144" t="inlineStr">
        <is>
          <t>D9</t>
        </is>
      </c>
      <c r="B43" s="156" t="n"/>
      <c r="C43" s="156" t="n"/>
      <c r="D43" s="145">
        <f>IF(C43="","",C43*0.66*1)</f>
        <v/>
      </c>
      <c r="E43" s="146" t="n">
        <v>986</v>
      </c>
      <c r="F43" s="146">
        <f>IF(B43="","",D43)</f>
        <v/>
      </c>
      <c r="G43" s="144">
        <f>IF(B43="","",F43/B43)</f>
        <v/>
      </c>
      <c r="H43" s="144" t="inlineStr">
        <is>
          <t>华大-C4-转录组</t>
        </is>
      </c>
      <c r="I43" s="146" t="inlineStr">
        <is>
          <t>广州奥智生物科技有限公司</t>
        </is>
      </c>
      <c r="J43" s="144">
        <f>IF(G43="","",40-G43)</f>
        <v/>
      </c>
      <c r="K43" s="156" t="n"/>
      <c r="L43" s="148" t="n"/>
      <c r="M43" s="147">
        <f>IF(OR(L43="",F43=""),"",22*L43/F43)</f>
        <v/>
      </c>
      <c r="N43" s="148" t="n"/>
      <c r="O43" s="148" t="n"/>
      <c r="P43" s="148" t="n"/>
    </row>
    <row r="44" ht="30" customHeight="1" s="76">
      <c r="A44" s="144" t="inlineStr">
        <is>
          <t>D10</t>
        </is>
      </c>
      <c r="B44" s="156" t="n"/>
      <c r="C44" s="156" t="n"/>
      <c r="D44" s="145">
        <f>IF(C44="","",C44*0.66*1)</f>
        <v/>
      </c>
      <c r="E44" s="146" t="n">
        <v>352</v>
      </c>
      <c r="F44" s="146">
        <f>IF(B44="","",D44)</f>
        <v/>
      </c>
      <c r="G44" s="144">
        <f>IF(B44="","",F44/B44)</f>
        <v/>
      </c>
      <c r="H44" s="144" t="inlineStr">
        <is>
          <t>华大-C4-转录组</t>
        </is>
      </c>
      <c r="I44" s="146" t="inlineStr">
        <is>
          <t>广州奥智生物科技有限公司</t>
        </is>
      </c>
      <c r="J44" s="144">
        <f>IF(G44="","",40-G44)</f>
        <v/>
      </c>
      <c r="K44" s="156" t="n"/>
      <c r="L44" s="148" t="n"/>
      <c r="M44" s="147">
        <f>IF(OR(L44="",F44=""),"",22*L44/F44)</f>
        <v/>
      </c>
      <c r="N44" s="148" t="n"/>
      <c r="O44" s="148" t="n"/>
      <c r="P44" s="148" t="n"/>
    </row>
    <row r="45" ht="18.75" customHeight="1" s="76"/>
    <row r="46" ht="18.75" customHeight="1" s="76"/>
    <row r="47" ht="18.75" customHeight="1" s="76"/>
    <row r="48" ht="18.75" customHeight="1" s="76"/>
    <row r="49" ht="18.75" customHeight="1" s="76"/>
    <row r="50" ht="18.75" customHeight="1" s="76"/>
    <row r="51" ht="18.75" customHeight="1" s="76"/>
    <row r="52" ht="18.75" customHeight="1" s="76"/>
    <row r="53" ht="18.75" customHeight="1" s="76"/>
    <row r="54" ht="18.75" customHeight="1" s="76"/>
    <row r="55" ht="18.75" customHeight="1" s="76"/>
    <row r="56" ht="30" customFormat="1" customHeight="1" s="18"/>
    <row r="57" ht="30" customHeight="1" s="76"/>
    <row r="58" ht="30" customHeight="1" s="76"/>
    <row r="59" ht="30" customHeight="1" s="76"/>
    <row r="60" ht="18.75" customHeight="1" s="76"/>
    <row r="61" ht="18.75" customHeight="1" s="76"/>
    <row r="62" ht="18.75" customHeight="1" s="76"/>
    <row r="63" ht="18.75" customHeight="1" s="76"/>
    <row r="64" ht="18.75" customHeight="1" s="76"/>
    <row r="65" ht="18.75" customHeight="1" s="76"/>
    <row r="66" ht="18.75" customHeight="1" s="76"/>
    <row r="67" ht="18.75" customHeight="1" s="76"/>
    <row r="68" ht="18.75" customHeight="1" s="76"/>
    <row r="69" ht="18.75" customHeight="1" s="76"/>
    <row r="70" ht="18.75" customHeight="1" s="76"/>
    <row r="71" ht="18.75" customHeight="1" s="76"/>
    <row r="72" ht="18.75" customHeight="1" s="76"/>
    <row r="73" ht="18.75" customHeight="1" s="76"/>
    <row r="74" ht="18.75" customHeight="1" s="76"/>
    <row r="75" ht="18.75" customHeight="1" s="76"/>
    <row r="32186" ht="20.1" customFormat="1" customHeight="1" s="95"/>
  </sheetData>
  <conditionalFormatting sqref="A1 B57:B1048576">
    <cfRule type="duplicateValues" priority="21" dxfId="0"/>
  </conditionalFormatting>
  <conditionalFormatting sqref="A2:A55">
    <cfRule type="duplicateValues" priority="1" dxfId="0"/>
  </conditionalFormatting>
  <conditionalFormatting sqref="A57:A1048576">
    <cfRule type="duplicateValues" priority="19" dxfId="0"/>
  </conditionalFormatting>
  <conditionalFormatting sqref="B2:B55">
    <cfRule type="duplicateValues" priority="2" dxfId="0"/>
  </conditionalFormatting>
  <conditionalFormatting sqref="G1:G55 G57:G1048576">
    <cfRule type="cellIs" priority="20" operator="greaterThan" dxfId="0">
      <formula>48</formula>
    </cfRule>
  </conditionalFormatting>
  <conditionalFormatting sqref="L1 M57:M1048576">
    <cfRule type="duplicateValues" priority="22" dxfId="0"/>
  </conditionalFormatting>
  <conditionalFormatting sqref="M1">
    <cfRule type="duplicateValues" priority="18" dxfId="0"/>
  </conditionalFormatting>
  <conditionalFormatting sqref="M1:M55 M57:M1048576">
    <cfRule type="cellIs" priority="17" operator="greaterThan" dxfId="0">
      <formula>0.2</formula>
    </cfRule>
  </conditionalFormatting>
  <conditionalFormatting sqref="M2:M55">
    <cfRule type="duplicateValues" priority="3" dxfId="0"/>
  </conditionalFormatting>
  <printOptions horizontalCentered="1"/>
  <pageMargins left="0.75" right="0.75" top="0.98" bottom="0.98" header="0.51" footer="0.51"/>
  <pageSetup orientation="portrait" paperSize="9" scale="27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S45"/>
  <sheetViews>
    <sheetView topLeftCell="E1" zoomScale="60" zoomScaleNormal="60" workbookViewId="0">
      <selection activeCell="E34" sqref="E34"/>
    </sheetView>
  </sheetViews>
  <sheetFormatPr baseColWidth="8" defaultColWidth="9" defaultRowHeight="30" customHeight="1"/>
  <cols>
    <col width="10" customWidth="1" style="4" min="1" max="1"/>
    <col width="17" customWidth="1" style="3" min="2" max="2"/>
    <col width="13" customWidth="1" style="4" min="3" max="3"/>
    <col width="20" customWidth="1" style="107" min="4" max="4"/>
    <col width="60" customWidth="1" style="108" min="5" max="5"/>
    <col width="25" customWidth="1" style="76" min="6" max="6"/>
    <col width="14" customWidth="1" style="107" min="7" max="7"/>
    <col width="17" customWidth="1" style="109" min="8" max="8"/>
    <col width="21" customWidth="1" style="110" min="9" max="9"/>
    <col width="12" customWidth="1" style="109" min="10" max="10"/>
    <col width="17" customWidth="1" style="110" min="11" max="11"/>
    <col width="16" customWidth="1" style="76" min="12" max="12"/>
    <col width="17" customWidth="1" style="108" min="13" max="13"/>
    <col width="26" customWidth="1" style="111" min="14" max="14"/>
    <col width="34" customWidth="1" style="111" min="15" max="15"/>
    <col width="14" customWidth="1" style="111" min="16" max="16"/>
    <col width="16" customWidth="1" style="109" min="17" max="17"/>
    <col width="4" customWidth="1" style="112" min="18" max="18"/>
    <col width="4" customWidth="1" style="113" min="19" max="19"/>
    <col width="12.25" customWidth="1" style="14" min="20" max="20"/>
    <col width="13.75" customWidth="1" style="14" min="21" max="21"/>
    <col width="17.625" customWidth="1" style="111" min="22" max="22"/>
    <col width="12.75" customWidth="1" style="114" min="23" max="23"/>
    <col width="10.875" customWidth="1" style="114" min="24" max="24"/>
    <col width="12.75" customWidth="1" style="4" min="25" max="25"/>
    <col width="9" customWidth="1" style="4" min="26" max="26"/>
    <col width="25.625" customWidth="1" style="4" min="27" max="27"/>
    <col width="12.625" customWidth="1" style="4" min="28" max="28"/>
    <col width="9" customWidth="1" style="4" min="29" max="35"/>
    <col width="9" customWidth="1" style="4" min="36" max="16384"/>
  </cols>
  <sheetData>
    <row r="1" ht="40" customHeight="1" s="76">
      <c r="A1" s="65" t="inlineStr">
        <is>
          <t>laneID</t>
        </is>
      </c>
      <c r="B1" s="115" t="inlineStr">
        <is>
          <t>文库ssDNA编号</t>
        </is>
      </c>
      <c r="C1" s="116" t="inlineStr">
        <is>
          <t>SSDNA浓度</t>
        </is>
      </c>
      <c r="D1" s="117" t="inlineStr">
        <is>
          <t>平均片段</t>
        </is>
      </c>
      <c r="E1" s="118" t="n"/>
      <c r="F1" s="119" t="inlineStr">
        <is>
          <t>150fmol对应质量（ng）</t>
        </is>
      </c>
      <c r="G1" s="120" t="inlineStr">
        <is>
          <t>投入摩尔数</t>
        </is>
      </c>
      <c r="H1" s="121" t="inlineStr">
        <is>
          <t>数据量（G)</t>
        </is>
      </c>
      <c r="I1" s="122" t="inlineStr">
        <is>
          <t>理论数据量占比</t>
        </is>
      </c>
      <c r="J1" s="123" t="inlineStr">
        <is>
          <t>调整比例</t>
        </is>
      </c>
      <c r="K1" s="124" t="n"/>
      <c r="L1" s="122" t="inlineStr">
        <is>
          <t>实际投入占比</t>
        </is>
      </c>
      <c r="M1" s="125" t="inlineStr">
        <is>
          <t>ssDNA取样体积</t>
        </is>
      </c>
      <c r="N1" s="126" t="inlineStr">
        <is>
          <t>文库类型</t>
        </is>
      </c>
      <c r="O1" s="126" t="inlineStr">
        <is>
          <t>客户单位</t>
        </is>
      </c>
      <c r="P1" s="127" t="inlineStr">
        <is>
          <t>TE补充体积</t>
        </is>
      </c>
      <c r="Q1" s="128" t="inlineStr">
        <is>
          <t>实际调整比例</t>
        </is>
      </c>
      <c r="R1" s="53" t="n"/>
      <c r="S1" s="129" t="n"/>
    </row>
    <row r="2" ht="30" customHeight="1" s="76">
      <c r="A2" s="144" t="inlineStr">
        <is>
          <t>0807B</t>
        </is>
      </c>
      <c r="B2" s="144" t="inlineStr">
        <is>
          <t>B1</t>
        </is>
      </c>
      <c r="C2" s="156" t="n"/>
      <c r="D2" s="159" t="n"/>
      <c r="E2" s="146">
        <f>IF(ABS(D2-D20)&lt;=100,"正常",IF(D2&gt;D20,"偏大"&amp;INT(D2-D20)&amp;"bp","偏小"&amp;INT(D20-D2)&amp;"bp"))</f>
        <v/>
      </c>
      <c r="F2" s="146">
        <f>D2*0.33*G2*0.001</f>
        <v/>
      </c>
      <c r="G2" s="144">
        <f>900*L2</f>
        <v/>
      </c>
      <c r="H2" s="145" t="n">
        <v>800</v>
      </c>
      <c r="I2" s="146">
        <f>ROUND(H2/H20,4)</f>
        <v/>
      </c>
      <c r="J2" s="156" t="n"/>
      <c r="K2" s="144">
        <f>I2*J2</f>
        <v/>
      </c>
      <c r="L2" s="144">
        <f>K2/K20</f>
        <v/>
      </c>
      <c r="M2" s="144">
        <f>F2/C2</f>
        <v/>
      </c>
      <c r="N2" s="144" t="inlineStr">
        <is>
          <t>HIC文库</t>
        </is>
      </c>
      <c r="O2" s="144" t="inlineStr">
        <is>
          <t>安徽医科大学第一附属医院</t>
        </is>
      </c>
      <c r="P2" s="156" t="n"/>
      <c r="Q2" s="144">
        <f>I2*J2</f>
        <v/>
      </c>
      <c r="R2" s="148" t="n"/>
      <c r="S2" s="148" t="n"/>
    </row>
    <row r="3" ht="30" customHeight="1" s="76">
      <c r="A3" s="144" t="inlineStr">
        <is>
          <t>0807B</t>
        </is>
      </c>
      <c r="B3" s="144" t="inlineStr">
        <is>
          <t>B2</t>
        </is>
      </c>
      <c r="C3" s="156" t="n"/>
      <c r="D3" s="159" t="n"/>
      <c r="E3" s="146">
        <f>IF(ABS(D3-D20)&lt;=100,"正常",IF(D3&gt;D20,"偏大"&amp;INT(D3-D20)&amp;"bp","偏小"&amp;INT(D20-D3)&amp;"bp"))</f>
        <v/>
      </c>
      <c r="F3" s="146">
        <f>D3*0.33*G3*0.001</f>
        <v/>
      </c>
      <c r="G3" s="144">
        <f>900*L3</f>
        <v/>
      </c>
      <c r="H3" s="145" t="n">
        <v>28</v>
      </c>
      <c r="I3" s="146">
        <f>ROUND(H3/H20,4)</f>
        <v/>
      </c>
      <c r="J3" s="156" t="n"/>
      <c r="K3" s="144">
        <f>I3*J3</f>
        <v/>
      </c>
      <c r="L3" s="144">
        <f>K3/K20</f>
        <v/>
      </c>
      <c r="M3" s="144">
        <f>F3/C3</f>
        <v/>
      </c>
      <c r="N3" s="144" t="inlineStr">
        <is>
          <t>10X-3-转录组</t>
        </is>
      </c>
      <c r="O3" s="144" t="inlineStr">
        <is>
          <t>广州奥智生物科技有限公司</t>
        </is>
      </c>
      <c r="P3" s="156" t="n"/>
      <c r="Q3" s="144">
        <f>I3*J3</f>
        <v/>
      </c>
      <c r="R3" s="148" t="n"/>
      <c r="S3" s="148" t="n"/>
    </row>
    <row r="4" ht="30" customHeight="1" s="76">
      <c r="A4" s="144" t="inlineStr">
        <is>
          <t>0807B</t>
        </is>
      </c>
      <c r="B4" s="144" t="inlineStr">
        <is>
          <t>B3</t>
        </is>
      </c>
      <c r="C4" s="156" t="n"/>
      <c r="D4" s="159" t="n"/>
      <c r="E4" s="146">
        <f>IF(ABS(D4-D20)&lt;=100,"正常",IF(D4&gt;D20,"偏大"&amp;INT(D4-D20)&amp;"bp","偏小"&amp;INT(D20-D4)&amp;"bp"))</f>
        <v/>
      </c>
      <c r="F4" s="146">
        <f>D4*0.33*G4*0.001</f>
        <v/>
      </c>
      <c r="G4" s="144">
        <f>900*L4</f>
        <v/>
      </c>
      <c r="H4" s="145" t="n">
        <v>23</v>
      </c>
      <c r="I4" s="146">
        <f>ROUND(H4/H20,4)</f>
        <v/>
      </c>
      <c r="J4" s="156" t="n"/>
      <c r="K4" s="144">
        <f>I4*J4</f>
        <v/>
      </c>
      <c r="L4" s="144">
        <f>K4/K20</f>
        <v/>
      </c>
      <c r="M4" s="144">
        <f>F4/C4</f>
        <v/>
      </c>
      <c r="N4" s="144" t="inlineStr">
        <is>
          <t>10X-3-转录组</t>
        </is>
      </c>
      <c r="O4" s="144" t="inlineStr">
        <is>
          <t>广州奥智生物科技有限公司</t>
        </is>
      </c>
      <c r="P4" s="156" t="n"/>
      <c r="Q4" s="144">
        <f>I4*J4</f>
        <v/>
      </c>
      <c r="R4" s="148" t="n"/>
      <c r="S4" s="148" t="n"/>
    </row>
    <row r="5" ht="30" customHeight="1" s="76">
      <c r="A5" s="144" t="inlineStr">
        <is>
          <t>0807B</t>
        </is>
      </c>
      <c r="B5" s="144" t="inlineStr">
        <is>
          <t>B4</t>
        </is>
      </c>
      <c r="C5" s="156" t="n"/>
      <c r="D5" s="159" t="n"/>
      <c r="E5" s="146">
        <f>IF(ABS(D5-D20)&lt;=100,"正常",IF(D5&gt;D20,"偏大"&amp;INT(D5-D20)&amp;"bp","偏小"&amp;INT(D20-D5)&amp;"bp"))</f>
        <v/>
      </c>
      <c r="F5" s="146">
        <f>D5*0.33*G5*0.001</f>
        <v/>
      </c>
      <c r="G5" s="144">
        <f>900*L5</f>
        <v/>
      </c>
      <c r="H5" s="145" t="n">
        <v>584</v>
      </c>
      <c r="I5" s="146">
        <f>ROUND(H5/H20,4)</f>
        <v/>
      </c>
      <c r="J5" s="156" t="n"/>
      <c r="K5" s="144">
        <f>I5*J5</f>
        <v/>
      </c>
      <c r="L5" s="144">
        <f>K5/K20</f>
        <v/>
      </c>
      <c r="M5" s="144">
        <f>F5/C5</f>
        <v/>
      </c>
      <c r="N5" s="144" t="inlineStr">
        <is>
          <t>宏基因组</t>
        </is>
      </c>
      <c r="O5" s="144" t="inlineStr">
        <is>
          <t>广州奥智生物科技有限公司</t>
        </is>
      </c>
      <c r="P5" s="156" t="n"/>
      <c r="Q5" s="144">
        <f>I5*J5</f>
        <v/>
      </c>
      <c r="R5" s="148" t="n"/>
      <c r="S5" s="148" t="n"/>
    </row>
    <row r="6" ht="30" customHeight="1" s="76">
      <c r="A6" s="144" t="inlineStr">
        <is>
          <t>0807B</t>
        </is>
      </c>
      <c r="B6" s="144" t="inlineStr">
        <is>
          <t>B5</t>
        </is>
      </c>
      <c r="C6" s="156" t="n"/>
      <c r="D6" s="159" t="n"/>
      <c r="E6" s="146">
        <f>IF(ABS(D6-D20)&lt;=100,"正常",IF(D6&gt;D20,"偏大"&amp;INT(D6-D20)&amp;"bp","偏小"&amp;INT(D20-D6)&amp;"bp"))</f>
        <v/>
      </c>
      <c r="F6" s="146">
        <f>D6*0.33*G6*0.001</f>
        <v/>
      </c>
      <c r="G6" s="144">
        <f>900*L6</f>
        <v/>
      </c>
      <c r="H6" s="145" t="n">
        <v>45</v>
      </c>
      <c r="I6" s="146">
        <f>ROUND(H6/H20,4)</f>
        <v/>
      </c>
      <c r="J6" s="156" t="n"/>
      <c r="K6" s="144">
        <f>I6*J6</f>
        <v/>
      </c>
      <c r="L6" s="144">
        <f>K6/K20</f>
        <v/>
      </c>
      <c r="M6" s="144">
        <f>F6/C6</f>
        <v/>
      </c>
      <c r="N6" s="144" t="inlineStr">
        <is>
          <t>无参转录组（RNA-seq）</t>
        </is>
      </c>
      <c r="O6" s="144" t="inlineStr">
        <is>
          <t>广州奥智生物科技有限公司</t>
        </is>
      </c>
      <c r="P6" s="156" t="n"/>
      <c r="Q6" s="144">
        <f>I6*J6</f>
        <v/>
      </c>
      <c r="R6" s="148" t="n"/>
      <c r="S6" s="148" t="n"/>
    </row>
    <row r="7" ht="30" customHeight="1" s="76">
      <c r="A7" s="144" t="inlineStr">
        <is>
          <t>0807B</t>
        </is>
      </c>
      <c r="B7" s="144" t="inlineStr">
        <is>
          <t>B6</t>
        </is>
      </c>
      <c r="C7" s="156" t="n"/>
      <c r="D7" s="159" t="n"/>
      <c r="E7" s="146">
        <f>IF(ABS(D7-D20)&lt;=100,"正常",IF(D7&gt;D20,"偏大"&amp;INT(D7-D20)&amp;"bp","偏小"&amp;INT(D20-D7)&amp;"bp"))</f>
        <v/>
      </c>
      <c r="F7" s="146">
        <f>D7*0.33*G7*0.001</f>
        <v/>
      </c>
      <c r="G7" s="144">
        <f>900*L7</f>
        <v/>
      </c>
      <c r="H7" s="145" t="n">
        <v>545</v>
      </c>
      <c r="I7" s="146">
        <f>ROUND(H7/H20,4)</f>
        <v/>
      </c>
      <c r="J7" s="156" t="n"/>
      <c r="K7" s="144">
        <f>I7*J7</f>
        <v/>
      </c>
      <c r="L7" s="144">
        <f>K7/K20</f>
        <v/>
      </c>
      <c r="M7" s="144">
        <f>F7/C7</f>
        <v/>
      </c>
      <c r="N7" s="144" t="inlineStr">
        <is>
          <t>有参转录组（RNA-seq）</t>
        </is>
      </c>
      <c r="O7" s="144" t="inlineStr">
        <is>
          <t>广州奥智生物科技有限公司</t>
        </is>
      </c>
      <c r="P7" s="156" t="n"/>
      <c r="Q7" s="144">
        <f>I7*J7</f>
        <v/>
      </c>
      <c r="R7" s="148" t="n"/>
      <c r="S7" s="148" t="n"/>
    </row>
    <row r="8" ht="30" customHeight="1" s="76">
      <c r="A8" s="144" t="inlineStr">
        <is>
          <t>0807B</t>
        </is>
      </c>
      <c r="B8" s="144" t="inlineStr">
        <is>
          <t>B7</t>
        </is>
      </c>
      <c r="C8" s="156" t="n"/>
      <c r="D8" s="159" t="n"/>
      <c r="E8" s="146">
        <f>IF(ABS(D8-D20)&lt;=100,"正常",IF(D8&gt;D20,"偏大"&amp;INT(D8-D20)&amp;"bp","偏小"&amp;INT(D20-D8)&amp;"bp"))</f>
        <v/>
      </c>
      <c r="F8" s="146">
        <f>D8*0.33*G8*0.001</f>
        <v/>
      </c>
      <c r="G8" s="144">
        <f>900*L8</f>
        <v/>
      </c>
      <c r="H8" s="145" t="n">
        <v>30</v>
      </c>
      <c r="I8" s="146">
        <f>ROUND(H8/H20,4)</f>
        <v/>
      </c>
      <c r="J8" s="156" t="n"/>
      <c r="K8" s="144">
        <f>I8*J8</f>
        <v/>
      </c>
      <c r="L8" s="144">
        <f>K8/K20</f>
        <v/>
      </c>
      <c r="M8" s="144">
        <f>F8/C8</f>
        <v/>
      </c>
      <c r="N8" s="144" t="inlineStr">
        <is>
          <t>有参转录组（RNA-seq）</t>
        </is>
      </c>
      <c r="O8" s="144" t="inlineStr">
        <is>
          <t>广州奥智生物科技有限公司</t>
        </is>
      </c>
      <c r="P8" s="156" t="n"/>
      <c r="Q8" s="144">
        <f>I8*J8</f>
        <v/>
      </c>
      <c r="R8" s="148" t="n"/>
      <c r="S8" s="148" t="n"/>
    </row>
    <row r="9" ht="30" customHeight="1" s="76">
      <c r="A9" s="144" t="inlineStr">
        <is>
          <t>0807B</t>
        </is>
      </c>
      <c r="B9" s="144" t="inlineStr">
        <is>
          <t>B8</t>
        </is>
      </c>
      <c r="C9" s="156" t="n"/>
      <c r="D9" s="159" t="n"/>
      <c r="E9" s="146">
        <f>IF(ABS(D9-D20)&lt;=100,"正常",IF(D9&gt;D20,"偏大"&amp;INT(D9-D20)&amp;"bp","偏小"&amp;INT(D20-D9)&amp;"bp"))</f>
        <v/>
      </c>
      <c r="F9" s="146">
        <f>D9*0.33*G9*0.001</f>
        <v/>
      </c>
      <c r="G9" s="144">
        <f>900*L9</f>
        <v/>
      </c>
      <c r="H9" s="145" t="n">
        <v>30</v>
      </c>
      <c r="I9" s="146">
        <f>ROUND(H9/H20,4)</f>
        <v/>
      </c>
      <c r="J9" s="156" t="n"/>
      <c r="K9" s="144">
        <f>I9*J9</f>
        <v/>
      </c>
      <c r="L9" s="144">
        <f>K9/K20</f>
        <v/>
      </c>
      <c r="M9" s="144">
        <f>F9/C9</f>
        <v/>
      </c>
      <c r="N9" s="144" t="inlineStr">
        <is>
          <t>singleron-3'转录组文库</t>
        </is>
      </c>
      <c r="O9" s="144" t="inlineStr">
        <is>
          <t>南京通元医学检验实验室有限公司</t>
        </is>
      </c>
      <c r="P9" s="156" t="n"/>
      <c r="Q9" s="144">
        <f>I9*J9</f>
        <v/>
      </c>
      <c r="R9" s="148" t="n"/>
      <c r="S9" s="148" t="n"/>
    </row>
    <row r="10" ht="30" customHeight="1" s="76">
      <c r="A10" s="144" t="inlineStr">
        <is>
          <t>0807B</t>
        </is>
      </c>
      <c r="B10" s="144" t="inlineStr">
        <is>
          <t>B9</t>
        </is>
      </c>
      <c r="C10" s="156" t="n"/>
      <c r="D10" s="159" t="n"/>
      <c r="E10" s="146">
        <f>IF(ABS(D10-D20)&lt;=100,"正常",IF(D10&gt;D20,"偏大"&amp;INT(D10-D20)&amp;"bp","偏小"&amp;INT(D20-D10)&amp;"bp"))</f>
        <v/>
      </c>
      <c r="F10" s="146">
        <f>D10*0.33*G10*0.001</f>
        <v/>
      </c>
      <c r="G10" s="144">
        <f>900*L10</f>
        <v/>
      </c>
      <c r="H10" s="145" t="n">
        <v>100</v>
      </c>
      <c r="I10" s="146">
        <f>ROUND(H10/H20,4)</f>
        <v/>
      </c>
      <c r="J10" s="156" t="n"/>
      <c r="K10" s="144">
        <f>I10*J10</f>
        <v/>
      </c>
      <c r="L10" s="144">
        <f>K10/K20</f>
        <v/>
      </c>
      <c r="M10" s="144">
        <f>F10/C10</f>
        <v/>
      </c>
      <c r="N10" s="144" t="inlineStr">
        <is>
          <t>10x3′单细胞转录组</t>
        </is>
      </c>
      <c r="O10" s="144" t="inlineStr">
        <is>
          <t>广州承启生物科技有限公司</t>
        </is>
      </c>
      <c r="P10" s="156" t="n"/>
      <c r="Q10" s="144">
        <f>I10*J10</f>
        <v/>
      </c>
      <c r="R10" s="148" t="n"/>
      <c r="S10" s="148" t="n"/>
    </row>
    <row r="11" ht="30" customHeight="1" s="76">
      <c r="A11" s="144" t="inlineStr">
        <is>
          <t>0807B</t>
        </is>
      </c>
      <c r="B11" s="144" t="inlineStr">
        <is>
          <t>B10</t>
        </is>
      </c>
      <c r="C11" s="156" t="n"/>
      <c r="D11" s="159" t="n"/>
      <c r="E11" s="146">
        <f>IF(ABS(D11-D20)&lt;=100,"正常",IF(D11&gt;D20,"偏大"&amp;INT(D11-D20)&amp;"bp","偏小"&amp;INT(D20-D11)&amp;"bp"))</f>
        <v/>
      </c>
      <c r="F11" s="146">
        <f>D11*0.33*G11*0.001</f>
        <v/>
      </c>
      <c r="G11" s="144">
        <f>900*L11</f>
        <v/>
      </c>
      <c r="H11" s="145" t="n">
        <v>135</v>
      </c>
      <c r="I11" s="146">
        <f>ROUND(H11/H20,4)</f>
        <v/>
      </c>
      <c r="J11" s="156" t="n"/>
      <c r="K11" s="144">
        <f>I11*J11</f>
        <v/>
      </c>
      <c r="L11" s="144">
        <f>K11/K20</f>
        <v/>
      </c>
      <c r="M11" s="144">
        <f>F11/C11</f>
        <v/>
      </c>
      <c r="N11" s="144" t="inlineStr">
        <is>
          <t>BD</t>
        </is>
      </c>
      <c r="O11" s="144" t="inlineStr">
        <is>
          <t>武汉瑞兴生物科技有限公司</t>
        </is>
      </c>
      <c r="P11" s="156" t="n"/>
      <c r="Q11" s="144">
        <f>I11*J11</f>
        <v/>
      </c>
      <c r="R11" s="148" t="n"/>
      <c r="S11" s="148" t="n"/>
    </row>
    <row r="12" ht="30" customHeight="1" s="76">
      <c r="A12" s="144" t="inlineStr">
        <is>
          <t>0807B</t>
        </is>
      </c>
      <c r="B12" s="144" t="inlineStr">
        <is>
          <t>B11</t>
        </is>
      </c>
      <c r="C12" s="156" t="n"/>
      <c r="D12" s="159" t="n"/>
      <c r="E12" s="146">
        <f>IF(ABS(D12-D20)&lt;=100,"正常",IF(D12&gt;D20,"偏大"&amp;INT(D12-D20)&amp;"bp","偏小"&amp;INT(D20-D12)&amp;"bp"))</f>
        <v/>
      </c>
      <c r="F12" s="146">
        <f>D12*0.33*G12*0.001</f>
        <v/>
      </c>
      <c r="G12" s="144">
        <f>900*L12</f>
        <v/>
      </c>
      <c r="H12" s="145" t="n">
        <v>117</v>
      </c>
      <c r="I12" s="146">
        <f>ROUND(H12/H20,4)</f>
        <v/>
      </c>
      <c r="J12" s="156" t="n"/>
      <c r="K12" s="144">
        <f>I12*J12</f>
        <v/>
      </c>
      <c r="L12" s="144">
        <f>K12/K20</f>
        <v/>
      </c>
      <c r="M12" s="144">
        <f>F12/C12</f>
        <v/>
      </c>
      <c r="N12" s="144" t="inlineStr">
        <is>
          <t>BD-单细胞</t>
        </is>
      </c>
      <c r="O12" s="144" t="inlineStr">
        <is>
          <t>江西烈冰生物科技有限公司</t>
        </is>
      </c>
      <c r="P12" s="156" t="n"/>
      <c r="Q12" s="144">
        <f>I12*J12</f>
        <v/>
      </c>
      <c r="R12" s="148" t="n"/>
      <c r="S12" s="148" t="n"/>
    </row>
    <row r="13" ht="30" customHeight="1" s="76">
      <c r="A13" s="144" t="inlineStr">
        <is>
          <t>0807B</t>
        </is>
      </c>
      <c r="B13" s="144" t="inlineStr">
        <is>
          <t>B12</t>
        </is>
      </c>
      <c r="C13" s="156" t="n"/>
      <c r="D13" s="159" t="n"/>
      <c r="E13" s="146">
        <f>IF(ABS(D13-D20)&lt;=100,"正常",IF(D13&gt;D20,"偏大"&amp;INT(D13-D20)&amp;"bp","偏小"&amp;INT(D20-D13)&amp;"bp"))</f>
        <v/>
      </c>
      <c r="F13" s="146">
        <f>D13*0.33*G13*0.001</f>
        <v/>
      </c>
      <c r="G13" s="144">
        <f>900*L13</f>
        <v/>
      </c>
      <c r="H13" s="145" t="n">
        <v>30</v>
      </c>
      <c r="I13" s="146">
        <f>ROUND(H13/H20,4)</f>
        <v/>
      </c>
      <c r="J13" s="156" t="n"/>
      <c r="K13" s="144">
        <f>I13*J13</f>
        <v/>
      </c>
      <c r="L13" s="144">
        <f>K13/K20</f>
        <v/>
      </c>
      <c r="M13" s="144">
        <f>F13/C13</f>
        <v/>
      </c>
      <c r="N13" s="144" t="inlineStr">
        <is>
          <t>BD</t>
        </is>
      </c>
      <c r="O13" s="144" t="inlineStr">
        <is>
          <t>武汉瑞兴生物科技有限公司</t>
        </is>
      </c>
      <c r="P13" s="156" t="n"/>
      <c r="Q13" s="144">
        <f>I13*J13</f>
        <v/>
      </c>
      <c r="R13" s="148" t="n"/>
      <c r="S13" s="148" t="n"/>
    </row>
    <row r="14" ht="30" customHeight="1" s="76">
      <c r="A14" s="144" t="inlineStr">
        <is>
          <t>0807B</t>
        </is>
      </c>
      <c r="B14" s="144" t="inlineStr">
        <is>
          <t>B13</t>
        </is>
      </c>
      <c r="C14" s="156" t="n"/>
      <c r="D14" s="159" t="n"/>
      <c r="E14" s="146">
        <f>IF(ABS(D14-D20)&lt;=100,"正常",IF(D14&gt;D20,"偏大"&amp;INT(D14-D20)&amp;"bp","偏小"&amp;INT(D20-D14)&amp;"bp"))</f>
        <v/>
      </c>
      <c r="F14" s="146">
        <f>D14*0.33*G14*0.001</f>
        <v/>
      </c>
      <c r="G14" s="144">
        <f>900*L14</f>
        <v/>
      </c>
      <c r="H14" s="145" t="n">
        <v>0.5</v>
      </c>
      <c r="I14" s="146">
        <f>ROUND(H14/H20,4)</f>
        <v/>
      </c>
      <c r="J14" s="156" t="n"/>
      <c r="K14" s="144">
        <f>I14*J14</f>
        <v/>
      </c>
      <c r="L14" s="144">
        <f>K14/K20</f>
        <v/>
      </c>
      <c r="M14" s="144">
        <f>F14/C14</f>
        <v/>
      </c>
      <c r="N14" s="144" t="inlineStr">
        <is>
          <t>华大-C4-oligo</t>
        </is>
      </c>
      <c r="O14" s="144" t="inlineStr">
        <is>
          <t>广州奥智生物科技有限公司</t>
        </is>
      </c>
      <c r="P14" s="156" t="n"/>
      <c r="Q14" s="144">
        <f>I14*J14</f>
        <v/>
      </c>
      <c r="R14" s="148" t="n"/>
      <c r="S14" s="148" t="n"/>
    </row>
    <row r="15" ht="30" customHeight="1" s="76">
      <c r="A15" s="144" t="inlineStr">
        <is>
          <t>0807B</t>
        </is>
      </c>
      <c r="B15" s="144" t="inlineStr">
        <is>
          <t>B14</t>
        </is>
      </c>
      <c r="C15" s="156" t="n"/>
      <c r="D15" s="159" t="n"/>
      <c r="E15" s="146">
        <f>IF(ABS(D15-D20)&lt;=100,"正常",IF(D15&gt;D20,"偏大"&amp;INT(D15-D20)&amp;"bp","偏小"&amp;INT(D20-D15)&amp;"bp"))</f>
        <v/>
      </c>
      <c r="F15" s="146">
        <f>D15*0.33*G15*0.001</f>
        <v/>
      </c>
      <c r="G15" s="144">
        <f>900*L15</f>
        <v/>
      </c>
      <c r="H15" s="145" t="n">
        <v>111.5</v>
      </c>
      <c r="I15" s="146">
        <f>ROUND(H15/H20,4)</f>
        <v/>
      </c>
      <c r="J15" s="156" t="n"/>
      <c r="K15" s="144">
        <f>I15*J15</f>
        <v/>
      </c>
      <c r="L15" s="144">
        <f>K15/K20</f>
        <v/>
      </c>
      <c r="M15" s="144">
        <f>F15/C15</f>
        <v/>
      </c>
      <c r="N15" s="144" t="inlineStr">
        <is>
          <t>华大-C4-转录组</t>
        </is>
      </c>
      <c r="O15" s="144" t="inlineStr">
        <is>
          <t>广州奥智生物科技有限公司</t>
        </is>
      </c>
      <c r="P15" s="156" t="n"/>
      <c r="Q15" s="144">
        <f>I15*J15</f>
        <v/>
      </c>
      <c r="R15" s="148" t="n"/>
      <c r="S15" s="148" t="n"/>
    </row>
    <row r="16" ht="30" customHeight="1" s="76">
      <c r="A16" s="144" t="inlineStr">
        <is>
          <t>0807B</t>
        </is>
      </c>
      <c r="B16" s="144" t="inlineStr">
        <is>
          <t>B15</t>
        </is>
      </c>
      <c r="C16" s="156" t="n"/>
      <c r="D16" s="159" t="n"/>
      <c r="E16" s="146">
        <f>IF(ABS(D16-D20)&lt;=100,"正常",IF(D16&gt;D20,"偏大"&amp;INT(D16-D20)&amp;"bp","偏小"&amp;INT(D20-D16)&amp;"bp"))</f>
        <v/>
      </c>
      <c r="F16" s="146">
        <f>D16*0.33*G16*0.001</f>
        <v/>
      </c>
      <c r="G16" s="144">
        <f>900*L16</f>
        <v/>
      </c>
      <c r="H16" s="145" t="n">
        <v>846</v>
      </c>
      <c r="I16" s="146">
        <f>ROUND(H16/H20,4)</f>
        <v/>
      </c>
      <c r="J16" s="156" t="n"/>
      <c r="K16" s="144">
        <f>I16*J16</f>
        <v/>
      </c>
      <c r="L16" s="144">
        <f>K16/K20</f>
        <v/>
      </c>
      <c r="M16" s="144">
        <f>F16/C16</f>
        <v/>
      </c>
      <c r="N16" s="144" t="inlineStr">
        <is>
          <t>华大-C4-转录组</t>
        </is>
      </c>
      <c r="O16" s="144" t="inlineStr">
        <is>
          <t>广州奥智生物科技有限公司</t>
        </is>
      </c>
      <c r="P16" s="156" t="n"/>
      <c r="Q16" s="144">
        <f>I16*J16</f>
        <v/>
      </c>
      <c r="R16" s="148" t="n"/>
      <c r="S16" s="148" t="n"/>
    </row>
    <row r="17" ht="30" customHeight="1" s="76">
      <c r="A17" s="144" t="inlineStr">
        <is>
          <t>0807B</t>
        </is>
      </c>
      <c r="B17" s="144" t="inlineStr">
        <is>
          <t>B16</t>
        </is>
      </c>
      <c r="C17" s="156" t="n"/>
      <c r="D17" s="159" t="n"/>
      <c r="E17" s="146">
        <f>IF(ABS(D17-D20)&lt;=100,"正常",IF(D17&gt;D20,"偏大"&amp;INT(D17-D20)&amp;"bp","偏小"&amp;INT(D20-D17)&amp;"bp"))</f>
        <v/>
      </c>
      <c r="F17" s="146">
        <f>D17*0.33*G17*0.001</f>
        <v/>
      </c>
      <c r="G17" s="144">
        <f>900*L17</f>
        <v/>
      </c>
      <c r="H17" s="145" t="n">
        <v>176</v>
      </c>
      <c r="I17" s="146">
        <f>ROUND(H17/H20,4)</f>
        <v/>
      </c>
      <c r="J17" s="156" t="n"/>
      <c r="K17" s="144">
        <f>I17*J17</f>
        <v/>
      </c>
      <c r="L17" s="144">
        <f>K17/K20</f>
        <v/>
      </c>
      <c r="M17" s="144">
        <f>F17/C17</f>
        <v/>
      </c>
      <c r="N17" s="144" t="inlineStr">
        <is>
          <t>华大-C4-转录组</t>
        </is>
      </c>
      <c r="O17" s="144" t="inlineStr">
        <is>
          <t>广州奥智生物科技有限公司</t>
        </is>
      </c>
      <c r="P17" s="156" t="n"/>
      <c r="Q17" s="144">
        <f>I17*J17</f>
        <v/>
      </c>
      <c r="R17" s="148" t="n"/>
      <c r="S17" s="148" t="n"/>
    </row>
    <row r="18" ht="30" customHeight="1" s="76">
      <c r="A18" s="144" t="inlineStr">
        <is>
          <t>0807B</t>
        </is>
      </c>
      <c r="B18" s="144" t="inlineStr">
        <is>
          <t>B17</t>
        </is>
      </c>
      <c r="C18" s="156" t="n"/>
      <c r="D18" s="159" t="n"/>
      <c r="E18" s="146">
        <f>IF(ABS(D18-D20)&lt;=100,"正常",IF(D18&gt;D20,"偏大"&amp;INT(D18-D20)&amp;"bp","偏小"&amp;INT(D20-D18)&amp;"bp"))</f>
        <v/>
      </c>
      <c r="F18" s="146">
        <f>D18*0.33*G18*0.001</f>
        <v/>
      </c>
      <c r="G18" s="144">
        <f>900*L18</f>
        <v/>
      </c>
      <c r="H18" s="145" t="n">
        <v>35</v>
      </c>
      <c r="I18" s="146">
        <f>ROUND(H18/H20,4)</f>
        <v/>
      </c>
      <c r="J18" s="156" t="n"/>
      <c r="K18" s="144">
        <f>I18*J18</f>
        <v/>
      </c>
      <c r="L18" s="144">
        <f>K18/K20</f>
        <v/>
      </c>
      <c r="M18" s="144">
        <f>F18/C18</f>
        <v/>
      </c>
      <c r="N18" s="144" t="inlineStr">
        <is>
          <t>基因组文库</t>
        </is>
      </c>
      <c r="O18" s="144" t="inlineStr">
        <is>
          <t>武汉百易汇能生物科技有限公司</t>
        </is>
      </c>
      <c r="P18" s="156" t="n"/>
      <c r="Q18" s="144">
        <f>I18*J18</f>
        <v/>
      </c>
      <c r="R18" s="148" t="n"/>
      <c r="S18" s="148" t="n"/>
    </row>
    <row r="19" ht="30" customHeight="1" s="76">
      <c r="A19" s="144" t="inlineStr">
        <is>
          <t>0807B</t>
        </is>
      </c>
      <c r="B19" s="144" t="inlineStr">
        <is>
          <t>B18</t>
        </is>
      </c>
      <c r="C19" s="156" t="n"/>
      <c r="D19" s="159" t="n"/>
      <c r="E19" s="146">
        <f>IF(ABS(D19-D20)&lt;=100,"正常",IF(D19&gt;D20,"偏大"&amp;INT(D19-D20)&amp;"bp","偏小"&amp;INT(D20-D19)&amp;"bp"))</f>
        <v/>
      </c>
      <c r="F19" s="146">
        <f>D19*0.33*G19*0.001</f>
        <v/>
      </c>
      <c r="G19" s="144">
        <f>900*L19</f>
        <v/>
      </c>
      <c r="H19" s="145" t="n">
        <v>28</v>
      </c>
      <c r="I19" s="146">
        <f>ROUND(H19/H20,4)</f>
        <v/>
      </c>
      <c r="J19" s="156" t="n"/>
      <c r="K19" s="144">
        <f>I19*J19</f>
        <v/>
      </c>
      <c r="L19" s="144">
        <f>K19/K20</f>
        <v/>
      </c>
      <c r="M19" s="144">
        <f>F19/C19</f>
        <v/>
      </c>
      <c r="N19" s="144" t="inlineStr">
        <is>
          <t>转录组文库</t>
        </is>
      </c>
      <c r="O19" s="144" t="inlineStr">
        <is>
          <t>武汉百易汇能生物科技有限公司</t>
        </is>
      </c>
      <c r="P19" s="156" t="n"/>
      <c r="Q19" s="144">
        <f>I19*J19</f>
        <v/>
      </c>
      <c r="R19" s="148" t="n"/>
      <c r="S19" s="148" t="n"/>
    </row>
    <row r="20" ht="30" customHeight="1" s="76">
      <c r="A20" s="148" t="n"/>
      <c r="B20" s="148" t="n"/>
      <c r="C20" s="148" t="n"/>
      <c r="D20" s="149">
        <f>MEDIAN(D2:D19)</f>
        <v/>
      </c>
      <c r="E20" s="158" t="n"/>
      <c r="F20" s="158" t="n"/>
      <c r="G20" s="148" t="n"/>
      <c r="H20" s="149">
        <f>SUM(H2:H19)</f>
        <v/>
      </c>
      <c r="I20" s="158" t="n"/>
      <c r="J20" s="148" t="n"/>
      <c r="K20" s="147">
        <f>SUM(K2:K19)</f>
        <v/>
      </c>
      <c r="L20" s="148" t="n"/>
      <c r="M20" s="147">
        <f>SUM(M2:M19)</f>
        <v/>
      </c>
      <c r="N20" s="148" t="n"/>
      <c r="O20" s="148" t="n"/>
      <c r="P20" s="147">
        <f>96-M20</f>
        <v/>
      </c>
      <c r="Q20" s="148" t="n"/>
      <c r="R20" s="148" t="n"/>
      <c r="S20" s="148" t="n"/>
    </row>
    <row r="21" ht="30" customHeight="1" s="76">
      <c r="A21" s="144" t="inlineStr">
        <is>
          <t>0807C</t>
        </is>
      </c>
      <c r="B21" s="144" t="inlineStr">
        <is>
          <t>C1</t>
        </is>
      </c>
      <c r="C21" s="156" t="n"/>
      <c r="D21" s="159" t="n"/>
      <c r="E21" s="146">
        <f>IF(ABS(D21-D34)&lt;=100,"正常",IF(D21&gt;D34,"偏大"&amp;INT(D21-D34)&amp;"bp","偏小"&amp;INT(D34-D21)&amp;"bp"))</f>
        <v/>
      </c>
      <c r="F21" s="146">
        <f>D21*0.33*G21*0.001</f>
        <v/>
      </c>
      <c r="G21" s="144">
        <f>900*L21</f>
        <v/>
      </c>
      <c r="H21" s="145" t="n">
        <v>90</v>
      </c>
      <c r="I21" s="146">
        <f>ROUND(H21/H34,4)</f>
        <v/>
      </c>
      <c r="J21" s="156" t="n"/>
      <c r="K21" s="144">
        <f>I21*J21</f>
        <v/>
      </c>
      <c r="L21" s="144">
        <f>K21/K34</f>
        <v/>
      </c>
      <c r="M21" s="144">
        <f>F21/C21</f>
        <v/>
      </c>
      <c r="N21" s="144" t="inlineStr">
        <is>
          <t>10X-3-转录组</t>
        </is>
      </c>
      <c r="O21" s="144" t="inlineStr">
        <is>
          <t>广州奥智生物科技有限公司</t>
        </is>
      </c>
      <c r="P21" s="156" t="n"/>
      <c r="Q21" s="144">
        <f>I21*J21</f>
        <v/>
      </c>
      <c r="R21" s="148" t="n"/>
      <c r="S21" s="148" t="n"/>
    </row>
    <row r="22" ht="30" customHeight="1" s="76">
      <c r="A22" s="144" t="inlineStr">
        <is>
          <t>0807C</t>
        </is>
      </c>
      <c r="B22" s="144" t="inlineStr">
        <is>
          <t>C2</t>
        </is>
      </c>
      <c r="C22" s="156" t="n"/>
      <c r="D22" s="159" t="n"/>
      <c r="E22" s="146">
        <f>IF(ABS(D22-D34)&lt;=100,"正常",IF(D22&gt;D34,"偏大"&amp;INT(D22-D34)&amp;"bp","偏小"&amp;INT(D34-D22)&amp;"bp"))</f>
        <v/>
      </c>
      <c r="F22" s="146">
        <f>D22*0.33*G22*0.001</f>
        <v/>
      </c>
      <c r="G22" s="144">
        <f>900*L22</f>
        <v/>
      </c>
      <c r="H22" s="145" t="n">
        <v>6</v>
      </c>
      <c r="I22" s="146">
        <f>ROUND(H22/H34,4)</f>
        <v/>
      </c>
      <c r="J22" s="156" t="n"/>
      <c r="K22" s="144">
        <f>I22*J22</f>
        <v/>
      </c>
      <c r="L22" s="144">
        <f>K22/K34</f>
        <v/>
      </c>
      <c r="M22" s="144">
        <f>F22/C22</f>
        <v/>
      </c>
      <c r="N22" s="144" t="inlineStr">
        <is>
          <t>10X-BCR</t>
        </is>
      </c>
      <c r="O22" s="144" t="inlineStr">
        <is>
          <t>广州奥智生物科技有限公司</t>
        </is>
      </c>
      <c r="P22" s="156" t="n"/>
      <c r="Q22" s="144">
        <f>I22*J22</f>
        <v/>
      </c>
      <c r="R22" s="148" t="n"/>
      <c r="S22" s="148" t="n"/>
    </row>
    <row r="23" ht="30" customHeight="1" s="76">
      <c r="A23" s="144" t="inlineStr">
        <is>
          <t>0807C</t>
        </is>
      </c>
      <c r="B23" s="144" t="inlineStr">
        <is>
          <t>C3</t>
        </is>
      </c>
      <c r="C23" s="156" t="n"/>
      <c r="D23" s="159" t="n"/>
      <c r="E23" s="146">
        <f>IF(ABS(D23-D34)&lt;=100,"正常",IF(D23&gt;D34,"偏大"&amp;INT(D23-D34)&amp;"bp","偏小"&amp;INT(D34-D23)&amp;"bp"))</f>
        <v/>
      </c>
      <c r="F23" s="146">
        <f>D23*0.33*G23*0.001</f>
        <v/>
      </c>
      <c r="G23" s="144">
        <f>900*L23</f>
        <v/>
      </c>
      <c r="H23" s="145" t="n">
        <v>310</v>
      </c>
      <c r="I23" s="146">
        <f>ROUND(H23/H34,4)</f>
        <v/>
      </c>
      <c r="J23" s="156" t="n"/>
      <c r="K23" s="144">
        <f>I23*J23</f>
        <v/>
      </c>
      <c r="L23" s="144">
        <f>K23/K34</f>
        <v/>
      </c>
      <c r="M23" s="144">
        <f>F23/C23</f>
        <v/>
      </c>
      <c r="N23" s="144" t="inlineStr">
        <is>
          <t>有参转录组（RNA-seq）</t>
        </is>
      </c>
      <c r="O23" s="144" t="inlineStr">
        <is>
          <t>广州奥智生物科技有限公司</t>
        </is>
      </c>
      <c r="P23" s="156" t="n"/>
      <c r="Q23" s="144">
        <f>I23*J23</f>
        <v/>
      </c>
      <c r="R23" s="148" t="n"/>
      <c r="S23" s="148" t="n"/>
    </row>
    <row r="24" ht="30" customHeight="1" s="76">
      <c r="A24" s="144" t="inlineStr">
        <is>
          <t>0807C</t>
        </is>
      </c>
      <c r="B24" s="144" t="inlineStr">
        <is>
          <t>C4</t>
        </is>
      </c>
      <c r="C24" s="156" t="n"/>
      <c r="D24" s="159" t="n"/>
      <c r="E24" s="146">
        <f>IF(ABS(D24-D34)&lt;=100,"正常",IF(D24&gt;D34,"偏大"&amp;INT(D24-D34)&amp;"bp","偏小"&amp;INT(D34-D24)&amp;"bp"))</f>
        <v/>
      </c>
      <c r="F24" s="146">
        <f>D24*0.33*G24*0.001</f>
        <v/>
      </c>
      <c r="G24" s="144">
        <f>900*L24</f>
        <v/>
      </c>
      <c r="H24" s="145" t="n">
        <v>12</v>
      </c>
      <c r="I24" s="146">
        <f>ROUND(H24/H34,4)</f>
        <v/>
      </c>
      <c r="J24" s="156" t="n"/>
      <c r="K24" s="144">
        <f>I24*J24</f>
        <v/>
      </c>
      <c r="L24" s="144">
        <f>K24/K34</f>
        <v/>
      </c>
      <c r="M24" s="144">
        <f>F24/C24</f>
        <v/>
      </c>
      <c r="N24" s="144" t="inlineStr">
        <is>
          <t>mRNA-T7</t>
        </is>
      </c>
      <c r="O24" s="144" t="inlineStr">
        <is>
          <t>南华大学</t>
        </is>
      </c>
      <c r="P24" s="156" t="n"/>
      <c r="Q24" s="144">
        <f>I24*J24</f>
        <v/>
      </c>
      <c r="R24" s="148" t="n"/>
      <c r="S24" s="148" t="n"/>
    </row>
    <row r="25" ht="30" customHeight="1" s="76">
      <c r="A25" s="144" t="inlineStr">
        <is>
          <t>0807C</t>
        </is>
      </c>
      <c r="B25" s="144" t="inlineStr">
        <is>
          <t>C5</t>
        </is>
      </c>
      <c r="C25" s="156" t="n"/>
      <c r="D25" s="159" t="n"/>
      <c r="E25" s="146">
        <f>IF(ABS(D25-D34)&lt;=100,"正常",IF(D25&gt;D34,"偏大"&amp;INT(D25-D34)&amp;"bp","偏小"&amp;INT(D34-D25)&amp;"bp"))</f>
        <v/>
      </c>
      <c r="F25" s="146">
        <f>D25*0.33*G25*0.001</f>
        <v/>
      </c>
      <c r="G25" s="144">
        <f>900*L25</f>
        <v/>
      </c>
      <c r="H25" s="145" t="n">
        <v>800</v>
      </c>
      <c r="I25" s="146">
        <f>ROUND(H25/H34,4)</f>
        <v/>
      </c>
      <c r="J25" s="156" t="n"/>
      <c r="K25" s="144">
        <f>I25*J25</f>
        <v/>
      </c>
      <c r="L25" s="144">
        <f>K25/K34</f>
        <v/>
      </c>
      <c r="M25" s="144">
        <f>F25/C25</f>
        <v/>
      </c>
      <c r="N25" s="144" t="inlineStr">
        <is>
          <t>HIC文库</t>
        </is>
      </c>
      <c r="O25" s="144" t="inlineStr">
        <is>
          <t>安徽医科大学第一附属医院</t>
        </is>
      </c>
      <c r="P25" s="156" t="n"/>
      <c r="Q25" s="144">
        <f>I25*J25</f>
        <v/>
      </c>
      <c r="R25" s="148" t="n"/>
      <c r="S25" s="148" t="n"/>
    </row>
    <row r="26" ht="30" customHeight="1" s="76">
      <c r="A26" s="144" t="inlineStr">
        <is>
          <t>0807C</t>
        </is>
      </c>
      <c r="B26" s="144" t="inlineStr">
        <is>
          <t>C6</t>
        </is>
      </c>
      <c r="C26" s="156" t="n"/>
      <c r="D26" s="159" t="n"/>
      <c r="E26" s="146">
        <f>IF(ABS(D26-D34)&lt;=100,"正常",IF(D26&gt;D34,"偏大"&amp;INT(D26-D34)&amp;"bp","偏小"&amp;INT(D34-D26)&amp;"bp"))</f>
        <v/>
      </c>
      <c r="F26" s="146">
        <f>D26*0.33*G26*0.001</f>
        <v/>
      </c>
      <c r="G26" s="144">
        <f>900*L26</f>
        <v/>
      </c>
      <c r="H26" s="145" t="n">
        <v>360</v>
      </c>
      <c r="I26" s="146">
        <f>ROUND(H26/H34,4)</f>
        <v/>
      </c>
      <c r="J26" s="156" t="n"/>
      <c r="K26" s="144">
        <f>I26*J26</f>
        <v/>
      </c>
      <c r="L26" s="144">
        <f>K26/K34</f>
        <v/>
      </c>
      <c r="M26" s="144">
        <f>F26/C26</f>
        <v/>
      </c>
      <c r="N26" s="144" t="inlineStr">
        <is>
          <t>WGS</t>
        </is>
      </c>
      <c r="O26" s="144" t="inlineStr">
        <is>
          <t>深圳市艾斯基因科技有限公司</t>
        </is>
      </c>
      <c r="P26" s="156" t="n"/>
      <c r="Q26" s="144">
        <f>I26*J26</f>
        <v/>
      </c>
      <c r="R26" s="148" t="n"/>
      <c r="S26" s="148" t="n"/>
    </row>
    <row r="27" ht="30" customHeight="1" s="76">
      <c r="A27" s="144" t="inlineStr">
        <is>
          <t>0807C</t>
        </is>
      </c>
      <c r="B27" s="144" t="inlineStr">
        <is>
          <t>C7</t>
        </is>
      </c>
      <c r="C27" s="156" t="n"/>
      <c r="D27" s="159" t="n"/>
      <c r="E27" s="146">
        <f>IF(ABS(D27-D34)&lt;=100,"正常",IF(D27&gt;D34,"偏大"&amp;INT(D27-D34)&amp;"bp","偏小"&amp;INT(D34-D27)&amp;"bp"))</f>
        <v/>
      </c>
      <c r="F27" s="146">
        <f>D27*0.33*G27*0.001</f>
        <v/>
      </c>
      <c r="G27" s="144">
        <f>900*L27</f>
        <v/>
      </c>
      <c r="H27" s="145" t="n">
        <v>204</v>
      </c>
      <c r="I27" s="146">
        <f>ROUND(H27/H34,4)</f>
        <v/>
      </c>
      <c r="J27" s="156" t="n"/>
      <c r="K27" s="144">
        <f>I27*J27</f>
        <v/>
      </c>
      <c r="L27" s="144">
        <f>K27/K34</f>
        <v/>
      </c>
      <c r="M27" s="144">
        <f>F27/C27</f>
        <v/>
      </c>
      <c r="N27" s="144" t="inlineStr">
        <is>
          <t>mRNA-T7</t>
        </is>
      </c>
      <c r="O27" s="144" t="inlineStr">
        <is>
          <t>南华大学附属第二医院</t>
        </is>
      </c>
      <c r="P27" s="156" t="n"/>
      <c r="Q27" s="144">
        <f>I27*J27</f>
        <v/>
      </c>
      <c r="R27" s="148" t="n"/>
      <c r="S27" s="148" t="n"/>
    </row>
    <row r="28" ht="30" customHeight="1" s="76">
      <c r="A28" s="144" t="inlineStr">
        <is>
          <t>0807C</t>
        </is>
      </c>
      <c r="B28" s="144" t="inlineStr">
        <is>
          <t>C8</t>
        </is>
      </c>
      <c r="C28" s="156" t="n"/>
      <c r="D28" s="159" t="n"/>
      <c r="E28" s="146">
        <f>IF(ABS(D28-D34)&lt;=100,"正常",IF(D28&gt;D34,"偏大"&amp;INT(D28-D34)&amp;"bp","偏小"&amp;INT(D34-D28)&amp;"bp"))</f>
        <v/>
      </c>
      <c r="F28" s="146">
        <f>D28*0.33*G28*0.001</f>
        <v/>
      </c>
      <c r="G28" s="144">
        <f>900*L28</f>
        <v/>
      </c>
      <c r="H28" s="145" t="n">
        <v>162</v>
      </c>
      <c r="I28" s="146">
        <f>ROUND(H28/H34,4)</f>
        <v/>
      </c>
      <c r="J28" s="156" t="n"/>
      <c r="K28" s="144">
        <f>I28*J28</f>
        <v/>
      </c>
      <c r="L28" s="144">
        <f>K28/K34</f>
        <v/>
      </c>
      <c r="M28" s="144">
        <f>F28/C28</f>
        <v/>
      </c>
      <c r="N28" s="144" t="inlineStr">
        <is>
          <t>mRNA-T7</t>
        </is>
      </c>
      <c r="O28" s="144" t="inlineStr">
        <is>
          <t>南方医科大学南方医院</t>
        </is>
      </c>
      <c r="P28" s="156" t="n"/>
      <c r="Q28" s="144">
        <f>I28*J28</f>
        <v/>
      </c>
      <c r="R28" s="148" t="n"/>
      <c r="S28" s="148" t="n"/>
    </row>
    <row r="29" ht="30" customHeight="1" s="76">
      <c r="A29" s="144" t="inlineStr">
        <is>
          <t>0807C</t>
        </is>
      </c>
      <c r="B29" s="144" t="inlineStr">
        <is>
          <t>C9</t>
        </is>
      </c>
      <c r="C29" s="156" t="n"/>
      <c r="D29" s="159" t="n"/>
      <c r="E29" s="146">
        <f>IF(ABS(D29-D34)&lt;=100,"正常",IF(D29&gt;D34,"偏大"&amp;INT(D29-D34)&amp;"bp","偏小"&amp;INT(D34-D29)&amp;"bp"))</f>
        <v/>
      </c>
      <c r="F29" s="146">
        <f>D29*0.33*G29*0.001</f>
        <v/>
      </c>
      <c r="G29" s="144">
        <f>900*L29</f>
        <v/>
      </c>
      <c r="H29" s="145" t="n">
        <v>14</v>
      </c>
      <c r="I29" s="146">
        <f>ROUND(H29/H34,4)</f>
        <v/>
      </c>
      <c r="J29" s="156" t="n"/>
      <c r="K29" s="144">
        <f>I29*J29</f>
        <v/>
      </c>
      <c r="L29" s="144">
        <f>K29/K34</f>
        <v/>
      </c>
      <c r="M29" s="144">
        <f>F29/C29</f>
        <v/>
      </c>
      <c r="N29" s="144" t="inlineStr">
        <is>
          <t>华大-C4-oligo</t>
        </is>
      </c>
      <c r="O29" s="144" t="inlineStr">
        <is>
          <t>广州奥智生物科技有限公司</t>
        </is>
      </c>
      <c r="P29" s="156" t="n"/>
      <c r="Q29" s="144">
        <f>I29*J29</f>
        <v/>
      </c>
      <c r="R29" s="148" t="n"/>
      <c r="S29" s="148" t="n"/>
    </row>
    <row r="30" ht="30" customHeight="1" s="76">
      <c r="A30" s="144" t="inlineStr">
        <is>
          <t>0807C</t>
        </is>
      </c>
      <c r="B30" s="144" t="inlineStr">
        <is>
          <t>C10</t>
        </is>
      </c>
      <c r="C30" s="156" t="n"/>
      <c r="D30" s="159" t="n"/>
      <c r="E30" s="146">
        <f>IF(ABS(D30-D34)&lt;=100,"正常",IF(D30&gt;D34,"偏大"&amp;INT(D30-D34)&amp;"bp","偏小"&amp;INT(D34-D30)&amp;"bp"))</f>
        <v/>
      </c>
      <c r="F30" s="146">
        <f>D30*0.33*G30*0.001</f>
        <v/>
      </c>
      <c r="G30" s="144">
        <f>900*L30</f>
        <v/>
      </c>
      <c r="H30" s="145" t="n">
        <v>916</v>
      </c>
      <c r="I30" s="146">
        <f>ROUND(H30/H34,4)</f>
        <v/>
      </c>
      <c r="J30" s="156" t="n"/>
      <c r="K30" s="144">
        <f>I30*J30</f>
        <v/>
      </c>
      <c r="L30" s="144">
        <f>K30/K34</f>
        <v/>
      </c>
      <c r="M30" s="144">
        <f>F30/C30</f>
        <v/>
      </c>
      <c r="N30" s="144" t="inlineStr">
        <is>
          <t>华大-C4-转录组</t>
        </is>
      </c>
      <c r="O30" s="144" t="inlineStr">
        <is>
          <t>广州奥智生物科技有限公司</t>
        </is>
      </c>
      <c r="P30" s="156" t="n"/>
      <c r="Q30" s="144">
        <f>I30*J30</f>
        <v/>
      </c>
      <c r="R30" s="148" t="n"/>
      <c r="S30" s="148" t="n"/>
    </row>
    <row r="31" ht="30" customHeight="1" s="76">
      <c r="A31" s="144" t="inlineStr">
        <is>
          <t>0807C</t>
        </is>
      </c>
      <c r="B31" s="144" t="inlineStr">
        <is>
          <t>C11</t>
        </is>
      </c>
      <c r="C31" s="156" t="n"/>
      <c r="D31" s="159" t="n"/>
      <c r="E31" s="146">
        <f>IF(ABS(D31-D34)&lt;=100,"正常",IF(D31&gt;D34,"偏大"&amp;INT(D31-D34)&amp;"bp","偏小"&amp;INT(D34-D31)&amp;"bp"))</f>
        <v/>
      </c>
      <c r="F31" s="146">
        <f>D31*0.33*G31*0.001</f>
        <v/>
      </c>
      <c r="G31" s="144">
        <f>900*L31</f>
        <v/>
      </c>
      <c r="H31" s="145" t="n">
        <v>528</v>
      </c>
      <c r="I31" s="146">
        <f>ROUND(H31/H34,4)</f>
        <v/>
      </c>
      <c r="J31" s="156" t="n"/>
      <c r="K31" s="144">
        <f>I31*J31</f>
        <v/>
      </c>
      <c r="L31" s="144">
        <f>K31/K34</f>
        <v/>
      </c>
      <c r="M31" s="144">
        <f>F31/C31</f>
        <v/>
      </c>
      <c r="N31" s="144" t="inlineStr">
        <is>
          <t>华大-C4-转录组</t>
        </is>
      </c>
      <c r="O31" s="144" t="inlineStr">
        <is>
          <t>广州奥智生物科技有限公司</t>
        </is>
      </c>
      <c r="P31" s="156" t="n"/>
      <c r="Q31" s="144">
        <f>I31*J31</f>
        <v/>
      </c>
      <c r="R31" s="148" t="n"/>
      <c r="S31" s="148" t="n"/>
    </row>
    <row r="32" ht="30" customHeight="1" s="76">
      <c r="A32" s="144" t="inlineStr">
        <is>
          <t>0807C</t>
        </is>
      </c>
      <c r="B32" s="144" t="inlineStr">
        <is>
          <t>C12</t>
        </is>
      </c>
      <c r="C32" s="156" t="n"/>
      <c r="D32" s="159" t="n"/>
      <c r="E32" s="146">
        <f>IF(ABS(D32-D34)&lt;=100,"正常",IF(D32&gt;D34,"偏大"&amp;INT(D32-D34)&amp;"bp","偏小"&amp;INT(D34-D32)&amp;"bp"))</f>
        <v/>
      </c>
      <c r="F32" s="146">
        <f>D32*0.33*G32*0.001</f>
        <v/>
      </c>
      <c r="G32" s="144">
        <f>900*L32</f>
        <v/>
      </c>
      <c r="H32" s="145" t="n">
        <v>150</v>
      </c>
      <c r="I32" s="146">
        <f>ROUND(H32/H34,4)</f>
        <v/>
      </c>
      <c r="J32" s="156" t="n"/>
      <c r="K32" s="144">
        <f>I32*J32</f>
        <v/>
      </c>
      <c r="L32" s="144">
        <f>K32/K34</f>
        <v/>
      </c>
      <c r="M32" s="144">
        <f>F32/C32</f>
        <v/>
      </c>
      <c r="N32" s="144" t="inlineStr">
        <is>
          <t>基因组文库</t>
        </is>
      </c>
      <c r="O32" s="144" t="inlineStr">
        <is>
          <t>武汉百易汇能生物科技有限公司</t>
        </is>
      </c>
      <c r="P32" s="156" t="n"/>
      <c r="Q32" s="144">
        <f>I32*J32</f>
        <v/>
      </c>
      <c r="R32" s="148" t="n"/>
      <c r="S32" s="148" t="n"/>
    </row>
    <row r="33" ht="30" customHeight="1" s="76">
      <c r="A33" s="144" t="inlineStr">
        <is>
          <t>0807C</t>
        </is>
      </c>
      <c r="B33" s="144" t="inlineStr">
        <is>
          <t>C13</t>
        </is>
      </c>
      <c r="C33" s="156" t="n"/>
      <c r="D33" s="159" t="n"/>
      <c r="E33" s="146">
        <f>IF(ABS(D33-D34)&lt;=100,"正常",IF(D33&gt;D34,"偏大"&amp;INT(D33-D34)&amp;"bp","偏小"&amp;INT(D34-D33)&amp;"bp"))</f>
        <v/>
      </c>
      <c r="F33" s="146">
        <f>D33*0.33*G33*0.001</f>
        <v/>
      </c>
      <c r="G33" s="144">
        <f>900*L33</f>
        <v/>
      </c>
      <c r="H33" s="145" t="n">
        <v>96</v>
      </c>
      <c r="I33" s="146">
        <f>ROUND(H33/H34,4)</f>
        <v/>
      </c>
      <c r="J33" s="156" t="n"/>
      <c r="K33" s="144">
        <f>I33*J33</f>
        <v/>
      </c>
      <c r="L33" s="144">
        <f>K33/K34</f>
        <v/>
      </c>
      <c r="M33" s="144">
        <f>F33/C33</f>
        <v/>
      </c>
      <c r="N33" s="144" t="inlineStr">
        <is>
          <t>转录组文库</t>
        </is>
      </c>
      <c r="O33" s="144" t="inlineStr">
        <is>
          <t>武汉百易汇能生物科技有限公司</t>
        </is>
      </c>
      <c r="P33" s="156" t="n"/>
      <c r="Q33" s="144">
        <f>I33*J33</f>
        <v/>
      </c>
      <c r="R33" s="148" t="n"/>
      <c r="S33" s="148" t="n"/>
    </row>
    <row r="34" ht="30" customHeight="1" s="76">
      <c r="A34" s="148" t="n"/>
      <c r="B34" s="148" t="n"/>
      <c r="C34" s="148" t="n"/>
      <c r="D34" s="149">
        <f>MEDIAN(D21:D33)</f>
        <v/>
      </c>
      <c r="E34" s="158" t="n"/>
      <c r="F34" s="158" t="n"/>
      <c r="G34" s="148" t="n"/>
      <c r="H34" s="149">
        <f>SUM(H21:H33)</f>
        <v/>
      </c>
      <c r="I34" s="158" t="n"/>
      <c r="J34" s="148" t="n"/>
      <c r="K34" s="147">
        <f>SUM(K21:K33)</f>
        <v/>
      </c>
      <c r="L34" s="148" t="n"/>
      <c r="M34" s="147">
        <f>SUM(M21:M33)</f>
        <v/>
      </c>
      <c r="N34" s="148" t="n"/>
      <c r="O34" s="148" t="n"/>
      <c r="P34" s="147">
        <f>96-M34</f>
        <v/>
      </c>
      <c r="Q34" s="148" t="n"/>
      <c r="R34" s="148" t="n"/>
      <c r="S34" s="148" t="n"/>
    </row>
    <row r="35" ht="30" customHeight="1" s="76">
      <c r="A35" s="144" t="inlineStr">
        <is>
          <t>0807D</t>
        </is>
      </c>
      <c r="B35" s="144" t="inlineStr">
        <is>
          <t>D1</t>
        </is>
      </c>
      <c r="C35" s="156" t="n"/>
      <c r="D35" s="159" t="n"/>
      <c r="E35" s="146">
        <f>IF(ABS(D35-D45)&lt;=100,"正常",IF(D35&gt;D45,"偏大"&amp;INT(D35-D45)&amp;"bp","偏小"&amp;INT(D45-D35)&amp;"bp"))</f>
        <v/>
      </c>
      <c r="F35" s="146">
        <f>D35*0.33*G35*0.001</f>
        <v/>
      </c>
      <c r="G35" s="144">
        <f>900*L35</f>
        <v/>
      </c>
      <c r="H35" s="145" t="n">
        <v>35</v>
      </c>
      <c r="I35" s="146">
        <f>ROUND(H35/H45,4)</f>
        <v/>
      </c>
      <c r="J35" s="156" t="n"/>
      <c r="K35" s="144">
        <f>I35*J35</f>
        <v/>
      </c>
      <c r="L35" s="144">
        <f>K35/K45</f>
        <v/>
      </c>
      <c r="M35" s="144">
        <f>F35/C35</f>
        <v/>
      </c>
      <c r="N35" s="144" t="inlineStr">
        <is>
          <t>有参转录组（RNA-seq）</t>
        </is>
      </c>
      <c r="O35" s="144" t="inlineStr">
        <is>
          <t>广州奥智生物科技有限公司</t>
        </is>
      </c>
      <c r="P35" s="156" t="n"/>
      <c r="Q35" s="144">
        <f>I35*J35</f>
        <v/>
      </c>
      <c r="R35" s="148" t="n"/>
      <c r="S35" s="148" t="n"/>
    </row>
    <row r="36" ht="30" customHeight="1" s="76">
      <c r="A36" s="144" t="inlineStr">
        <is>
          <t>0807D</t>
        </is>
      </c>
      <c r="B36" s="144" t="inlineStr">
        <is>
          <t>D2</t>
        </is>
      </c>
      <c r="C36" s="156" t="n"/>
      <c r="D36" s="159" t="n"/>
      <c r="E36" s="146">
        <f>IF(ABS(D36-D45)&lt;=100,"正常",IF(D36&gt;D45,"偏大"&amp;INT(D36-D45)&amp;"bp","偏小"&amp;INT(D45-D36)&amp;"bp"))</f>
        <v/>
      </c>
      <c r="F36" s="146">
        <f>D36*0.33*G36*0.001</f>
        <v/>
      </c>
      <c r="G36" s="144">
        <f>900*L36</f>
        <v/>
      </c>
      <c r="H36" s="145" t="n">
        <v>965</v>
      </c>
      <c r="I36" s="146">
        <f>ROUND(H36/H45,4)</f>
        <v/>
      </c>
      <c r="J36" s="156" t="n"/>
      <c r="K36" s="144">
        <f>I36*J36</f>
        <v/>
      </c>
      <c r="L36" s="144">
        <f>K36/K45</f>
        <v/>
      </c>
      <c r="M36" s="144">
        <f>F36/C36</f>
        <v/>
      </c>
      <c r="N36" s="144" t="inlineStr">
        <is>
          <t>有参转录组（RNA-seq）</t>
        </is>
      </c>
      <c r="O36" s="144" t="inlineStr">
        <is>
          <t>广州奥智生物科技有限公司</t>
        </is>
      </c>
      <c r="P36" s="156" t="n"/>
      <c r="Q36" s="144">
        <f>I36*J36</f>
        <v/>
      </c>
      <c r="R36" s="148" t="n"/>
      <c r="S36" s="148" t="n"/>
    </row>
    <row r="37" ht="30" customHeight="1" s="76">
      <c r="A37" s="144" t="inlineStr">
        <is>
          <t>0807D</t>
        </is>
      </c>
      <c r="B37" s="144" t="inlineStr">
        <is>
          <t>D3</t>
        </is>
      </c>
      <c r="C37" s="156" t="n"/>
      <c r="D37" s="159" t="n"/>
      <c r="E37" s="146">
        <f>IF(ABS(D37-D45)&lt;=100,"正常",IF(D37&gt;D45,"偏大"&amp;INT(D37-D45)&amp;"bp","偏小"&amp;INT(D45-D37)&amp;"bp"))</f>
        <v/>
      </c>
      <c r="F37" s="146">
        <f>D37*0.33*G37*0.001</f>
        <v/>
      </c>
      <c r="G37" s="144">
        <f>900*L37</f>
        <v/>
      </c>
      <c r="H37" s="145" t="n">
        <v>300</v>
      </c>
      <c r="I37" s="146">
        <f>ROUND(H37/H45,4)</f>
        <v/>
      </c>
      <c r="J37" s="156" t="n"/>
      <c r="K37" s="144">
        <f>I37*J37</f>
        <v/>
      </c>
      <c r="L37" s="144">
        <f>K37/K45</f>
        <v/>
      </c>
      <c r="M37" s="144">
        <f>F37/C37</f>
        <v/>
      </c>
      <c r="N37" s="144" t="inlineStr">
        <is>
          <t>有参转录组（RNA-seq）</t>
        </is>
      </c>
      <c r="O37" s="144" t="inlineStr">
        <is>
          <t>广州奥智生物科技有限公司</t>
        </is>
      </c>
      <c r="P37" s="156" t="n"/>
      <c r="Q37" s="144">
        <f>I37*J37</f>
        <v/>
      </c>
      <c r="R37" s="148" t="n"/>
      <c r="S37" s="148" t="n"/>
    </row>
    <row r="38" ht="30" customHeight="1" s="76">
      <c r="A38" s="144" t="inlineStr">
        <is>
          <t>0807D</t>
        </is>
      </c>
      <c r="B38" s="144" t="inlineStr">
        <is>
          <t>D4</t>
        </is>
      </c>
      <c r="C38" s="156" t="n"/>
      <c r="D38" s="159" t="n"/>
      <c r="E38" s="146">
        <f>IF(ABS(D38-D45)&lt;=100,"正常",IF(D38&gt;D45,"偏大"&amp;INT(D38-D45)&amp;"bp","偏小"&amp;INT(D45-D38)&amp;"bp"))</f>
        <v/>
      </c>
      <c r="F38" s="146">
        <f>D38*0.33*G38*0.001</f>
        <v/>
      </c>
      <c r="G38" s="144">
        <f>900*L38</f>
        <v/>
      </c>
      <c r="H38" s="145" t="n">
        <v>50</v>
      </c>
      <c r="I38" s="146">
        <f>ROUND(H38/H45,4)</f>
        <v/>
      </c>
      <c r="J38" s="156" t="n"/>
      <c r="K38" s="144">
        <f>I38*J38</f>
        <v/>
      </c>
      <c r="L38" s="144">
        <f>K38/K45</f>
        <v/>
      </c>
      <c r="M38" s="144">
        <f>F38/C38</f>
        <v/>
      </c>
      <c r="N38" s="144" t="inlineStr">
        <is>
          <t>有参转录组（RNA-seq）</t>
        </is>
      </c>
      <c r="O38" s="144" t="inlineStr">
        <is>
          <t>广州基迪奥科技服务有限公司</t>
        </is>
      </c>
      <c r="P38" s="156" t="n"/>
      <c r="Q38" s="144">
        <f>I38*J38</f>
        <v/>
      </c>
      <c r="R38" s="148" t="n"/>
      <c r="S38" s="148" t="n"/>
    </row>
    <row r="39" ht="30" customHeight="1" s="76">
      <c r="A39" s="144" t="inlineStr">
        <is>
          <t>0807D</t>
        </is>
      </c>
      <c r="B39" s="144" t="inlineStr">
        <is>
          <t>D5</t>
        </is>
      </c>
      <c r="C39" s="156" t="n"/>
      <c r="D39" s="159" t="n"/>
      <c r="E39" s="146">
        <f>IF(ABS(D39-D45)&lt;=100,"正常",IF(D39&gt;D45,"偏大"&amp;INT(D39-D45)&amp;"bp","偏小"&amp;INT(D45-D39)&amp;"bp"))</f>
        <v/>
      </c>
      <c r="F39" s="146">
        <f>D39*0.33*G39*0.001</f>
        <v/>
      </c>
      <c r="G39" s="144">
        <f>900*L39</f>
        <v/>
      </c>
      <c r="H39" s="145" t="n">
        <v>80</v>
      </c>
      <c r="I39" s="146">
        <f>ROUND(H39/H45,4)</f>
        <v/>
      </c>
      <c r="J39" s="156" t="n"/>
      <c r="K39" s="144">
        <f>I39*J39</f>
        <v/>
      </c>
      <c r="L39" s="144">
        <f>K39/K45</f>
        <v/>
      </c>
      <c r="M39" s="144">
        <f>F39/C39</f>
        <v/>
      </c>
      <c r="N39" s="144" t="inlineStr">
        <is>
          <t>其他</t>
        </is>
      </c>
      <c r="O39" s="144" t="inlineStr">
        <is>
          <t>广州新蓝基因科技有限公司</t>
        </is>
      </c>
      <c r="P39" s="156" t="n"/>
      <c r="Q39" s="144">
        <f>I39*J39</f>
        <v/>
      </c>
      <c r="R39" s="148" t="n"/>
      <c r="S39" s="148" t="n"/>
    </row>
    <row r="40" ht="30" customHeight="1" s="76">
      <c r="A40" s="144" t="inlineStr">
        <is>
          <t>0807D</t>
        </is>
      </c>
      <c r="B40" s="144" t="inlineStr">
        <is>
          <t>D6</t>
        </is>
      </c>
      <c r="C40" s="156" t="n"/>
      <c r="D40" s="159" t="n"/>
      <c r="E40" s="146">
        <f>IF(ABS(D40-D45)&lt;=100,"正常",IF(D40&gt;D45,"偏大"&amp;INT(D40-D45)&amp;"bp","偏小"&amp;INT(D45-D40)&amp;"bp"))</f>
        <v/>
      </c>
      <c r="F40" s="146">
        <f>D40*0.33*G40*0.001</f>
        <v/>
      </c>
      <c r="G40" s="144">
        <f>900*L40</f>
        <v/>
      </c>
      <c r="H40" s="145" t="n">
        <v>450</v>
      </c>
      <c r="I40" s="146">
        <f>ROUND(H40/H45,4)</f>
        <v/>
      </c>
      <c r="J40" s="156" t="n"/>
      <c r="K40" s="144">
        <f>I40*J40</f>
        <v/>
      </c>
      <c r="L40" s="144">
        <f>K40/K45</f>
        <v/>
      </c>
      <c r="M40" s="144">
        <f>F40/C40</f>
        <v/>
      </c>
      <c r="N40" s="144" t="inlineStr">
        <is>
          <t>WGS</t>
        </is>
      </c>
      <c r="O40" s="144" t="inlineStr">
        <is>
          <t>深圳市艾斯基因科技有限公司</t>
        </is>
      </c>
      <c r="P40" s="156" t="n"/>
      <c r="Q40" s="144">
        <f>I40*J40</f>
        <v/>
      </c>
      <c r="R40" s="148" t="n"/>
      <c r="S40" s="148" t="n"/>
    </row>
    <row r="41" ht="30" customHeight="1" s="76">
      <c r="A41" s="144" t="inlineStr">
        <is>
          <t>0807D</t>
        </is>
      </c>
      <c r="B41" s="144" t="inlineStr">
        <is>
          <t>D7</t>
        </is>
      </c>
      <c r="C41" s="156" t="n"/>
      <c r="D41" s="159" t="n"/>
      <c r="E41" s="146">
        <f>IF(ABS(D41-D45)&lt;=100,"正常",IF(D41&gt;D45,"偏大"&amp;INT(D41-D45)&amp;"bp","偏小"&amp;INT(D45-D41)&amp;"bp"))</f>
        <v/>
      </c>
      <c r="F41" s="146">
        <f>D41*0.33*G41*0.001</f>
        <v/>
      </c>
      <c r="G41" s="144">
        <f>900*L41</f>
        <v/>
      </c>
      <c r="H41" s="145" t="n">
        <v>450</v>
      </c>
      <c r="I41" s="146">
        <f>ROUND(H41/H45,4)</f>
        <v/>
      </c>
      <c r="J41" s="156" t="n"/>
      <c r="K41" s="144">
        <f>I41*J41</f>
        <v/>
      </c>
      <c r="L41" s="144">
        <f>K41/K45</f>
        <v/>
      </c>
      <c r="M41" s="144">
        <f>F41/C41</f>
        <v/>
      </c>
      <c r="N41" s="144" t="inlineStr">
        <is>
          <t>WGS</t>
        </is>
      </c>
      <c r="O41" s="144" t="inlineStr">
        <is>
          <t>深圳市艾斯基因科技有限公司</t>
        </is>
      </c>
      <c r="P41" s="156" t="n"/>
      <c r="Q41" s="144">
        <f>I41*J41</f>
        <v/>
      </c>
      <c r="R41" s="148" t="n"/>
      <c r="S41" s="148" t="n"/>
    </row>
    <row r="42" ht="30" customHeight="1" s="76">
      <c r="A42" s="144" t="inlineStr">
        <is>
          <t>0807D</t>
        </is>
      </c>
      <c r="B42" s="144" t="inlineStr">
        <is>
          <t>D8</t>
        </is>
      </c>
      <c r="C42" s="156" t="n"/>
      <c r="D42" s="159" t="n"/>
      <c r="E42" s="146">
        <f>IF(ABS(D42-D45)&lt;=100,"正常",IF(D42&gt;D45,"偏大"&amp;INT(D42-D45)&amp;"bp","偏小"&amp;INT(D45-D42)&amp;"bp"))</f>
        <v/>
      </c>
      <c r="F42" s="146">
        <f>D42*0.33*G42*0.001</f>
        <v/>
      </c>
      <c r="G42" s="144">
        <f>900*L42</f>
        <v/>
      </c>
      <c r="H42" s="145" t="n">
        <v>8</v>
      </c>
      <c r="I42" s="146">
        <f>ROUND(H42/H45,4)</f>
        <v/>
      </c>
      <c r="J42" s="156" t="n"/>
      <c r="K42" s="144">
        <f>I42*J42</f>
        <v/>
      </c>
      <c r="L42" s="144">
        <f>K42/K45</f>
        <v/>
      </c>
      <c r="M42" s="144">
        <f>F42/C42</f>
        <v/>
      </c>
      <c r="N42" s="144" t="inlineStr">
        <is>
          <t>华大-C4-oligo</t>
        </is>
      </c>
      <c r="O42" s="144" t="inlineStr">
        <is>
          <t>广州奥智生物科技有限公司</t>
        </is>
      </c>
      <c r="P42" s="156" t="n"/>
      <c r="Q42" s="144">
        <f>I42*J42</f>
        <v/>
      </c>
      <c r="R42" s="148" t="n"/>
      <c r="S42" s="148" t="n"/>
    </row>
    <row r="43" ht="30" customHeight="1" s="76">
      <c r="A43" s="144" t="inlineStr">
        <is>
          <t>0807D</t>
        </is>
      </c>
      <c r="B43" s="144" t="inlineStr">
        <is>
          <t>D9</t>
        </is>
      </c>
      <c r="C43" s="156" t="n"/>
      <c r="D43" s="159" t="n"/>
      <c r="E43" s="146">
        <f>IF(ABS(D43-D45)&lt;=100,"正常",IF(D43&gt;D45,"偏大"&amp;INT(D43-D45)&amp;"bp","偏小"&amp;INT(D45-D43)&amp;"bp"))</f>
        <v/>
      </c>
      <c r="F43" s="146">
        <f>D43*0.33*G43*0.001</f>
        <v/>
      </c>
      <c r="G43" s="144">
        <f>900*L43</f>
        <v/>
      </c>
      <c r="H43" s="145" t="n">
        <v>986</v>
      </c>
      <c r="I43" s="146">
        <f>ROUND(H43/H45,4)</f>
        <v/>
      </c>
      <c r="J43" s="156" t="n"/>
      <c r="K43" s="144">
        <f>I43*J43</f>
        <v/>
      </c>
      <c r="L43" s="144">
        <f>K43/K45</f>
        <v/>
      </c>
      <c r="M43" s="144">
        <f>F43/C43</f>
        <v/>
      </c>
      <c r="N43" s="144" t="inlineStr">
        <is>
          <t>华大-C4-转录组</t>
        </is>
      </c>
      <c r="O43" s="144" t="inlineStr">
        <is>
          <t>广州奥智生物科技有限公司</t>
        </is>
      </c>
      <c r="P43" s="156" t="n"/>
      <c r="Q43" s="144">
        <f>I43*J43</f>
        <v/>
      </c>
      <c r="R43" s="148" t="n"/>
      <c r="S43" s="148" t="n"/>
    </row>
    <row r="44" ht="30" customHeight="1" s="76">
      <c r="A44" s="144" t="inlineStr">
        <is>
          <t>0807D</t>
        </is>
      </c>
      <c r="B44" s="144" t="inlineStr">
        <is>
          <t>D10</t>
        </is>
      </c>
      <c r="C44" s="156" t="n"/>
      <c r="D44" s="159" t="n"/>
      <c r="E44" s="146">
        <f>IF(ABS(D44-D45)&lt;=100,"正常",IF(D44&gt;D45,"偏大"&amp;INT(D44-D45)&amp;"bp","偏小"&amp;INT(D45-D44)&amp;"bp"))</f>
        <v/>
      </c>
      <c r="F44" s="146">
        <f>D44*0.33*G44*0.001</f>
        <v/>
      </c>
      <c r="G44" s="144">
        <f>900*L44</f>
        <v/>
      </c>
      <c r="H44" s="145" t="n">
        <v>352</v>
      </c>
      <c r="I44" s="146">
        <f>ROUND(H44/H45,4)</f>
        <v/>
      </c>
      <c r="J44" s="156" t="n"/>
      <c r="K44" s="144">
        <f>I44*J44</f>
        <v/>
      </c>
      <c r="L44" s="144">
        <f>K44/K45</f>
        <v/>
      </c>
      <c r="M44" s="144">
        <f>F44/C44</f>
        <v/>
      </c>
      <c r="N44" s="144" t="inlineStr">
        <is>
          <t>华大-C4-转录组</t>
        </is>
      </c>
      <c r="O44" s="144" t="inlineStr">
        <is>
          <t>广州奥智生物科技有限公司</t>
        </is>
      </c>
      <c r="P44" s="156" t="n"/>
      <c r="Q44" s="144">
        <f>I44*J44</f>
        <v/>
      </c>
      <c r="R44" s="148" t="n"/>
      <c r="S44" s="148" t="n"/>
    </row>
    <row r="45" ht="30" customHeight="1" s="76">
      <c r="A45" s="148" t="n"/>
      <c r="B45" s="148" t="n"/>
      <c r="C45" s="148" t="n"/>
      <c r="D45" s="149">
        <f>MEDIAN(D35:D44)</f>
        <v/>
      </c>
      <c r="E45" s="158" t="n"/>
      <c r="F45" s="158" t="n"/>
      <c r="G45" s="148" t="n"/>
      <c r="H45" s="149">
        <f>SUM(H35:H44)</f>
        <v/>
      </c>
      <c r="I45" s="158" t="n"/>
      <c r="J45" s="148" t="n"/>
      <c r="K45" s="147">
        <f>SUM(K35:K44)</f>
        <v/>
      </c>
      <c r="L45" s="148" t="n"/>
      <c r="M45" s="147">
        <f>SUM(M35:M44)</f>
        <v/>
      </c>
      <c r="N45" s="148" t="n"/>
      <c r="O45" s="148" t="n"/>
      <c r="P45" s="147">
        <f>96-M45</f>
        <v/>
      </c>
      <c r="Q45" s="148" t="n"/>
      <c r="R45" s="148" t="n"/>
      <c r="S45" s="148" t="n"/>
    </row>
    <row r="33383" ht="30" customFormat="1" customHeight="1" s="111"/>
  </sheetData>
  <conditionalFormatting sqref="B2:B51 B57:B1048576">
    <cfRule type="duplicateValues" priority="60" dxfId="0"/>
  </conditionalFormatting>
  <conditionalFormatting sqref="E1:E1048576">
    <cfRule type="containsText" priority="1" operator="containsText" dxfId="0" text="偏小">
      <formula>NOT(ISERROR(SEARCH("偏小",E1)))</formula>
    </cfRule>
    <cfRule type="containsText" priority="2" operator="containsText" dxfId="86" text="偏大">
      <formula>NOT(ISERROR(SEARCH("偏大",E1)))</formula>
    </cfRule>
    <cfRule type="cellIs" priority="3" operator="equal" dxfId="86">
      <formula>"偏大"</formula>
    </cfRule>
    <cfRule type="cellIs" priority="4" operator="equal" dxfId="0">
      <formula>"偏小"</formula>
    </cfRule>
  </conditionalFormatting>
  <conditionalFormatting sqref="R1:R1048576">
    <cfRule type="cellIs" priority="5" operator="lessThan" dxfId="0">
      <formula>0</formula>
    </cfRule>
  </conditionalFormatting>
  <conditionalFormatting sqref="W52:W56">
    <cfRule type="duplicateValues" priority="6" dxfId="0"/>
  </conditionalFormatting>
  <conditionalFormatting sqref="W2:W51 W57:W1048576">
    <cfRule type="duplicateValues" priority="61" dxfId="0"/>
  </conditionalFormatting>
  <pageMargins left="0.75" right="0.75" top="1" bottom="1" header="0.5" footer="0.5"/>
  <pageSetup orientation="portrait" paperSize="9" scale="2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1"/>
  <sheetViews>
    <sheetView zoomScale="85" zoomScaleNormal="85" workbookViewId="0">
      <pane ySplit="1" topLeftCell="A2" activePane="bottomLeft" state="frozen"/>
      <selection pane="bottomLeft" activeCell="O15" sqref="O15"/>
    </sheetView>
  </sheetViews>
  <sheetFormatPr baseColWidth="8" defaultColWidth="9" defaultRowHeight="15.75"/>
  <cols>
    <col width="12" customWidth="1" style="3" min="1" max="1"/>
    <col width="12" customWidth="1" style="4" min="2" max="2"/>
    <col width="19" customWidth="1" style="111" min="3" max="3"/>
    <col width="14" customWidth="1" style="130" min="4" max="4"/>
    <col width="22" customWidth="1" style="130" min="5" max="5"/>
    <col width="22" customWidth="1" style="109" min="6" max="6"/>
    <col width="24" customWidth="1" style="111" min="7" max="7"/>
    <col width="18" customWidth="1" style="111" min="8" max="8"/>
    <col width="24" customWidth="1" style="111" min="9" max="9"/>
    <col width="8" customWidth="1" style="4" min="10" max="10"/>
    <col width="4" customWidth="1" style="4" min="11" max="11"/>
    <col width="4" customWidth="1" style="7" min="12" max="12"/>
    <col width="4" customWidth="1" style="4" min="13" max="13"/>
    <col width="4" customWidth="1" style="76" min="14" max="16"/>
    <col width="4" customWidth="1" style="107" min="17" max="17"/>
    <col width="4" customWidth="1" style="4" min="18" max="18"/>
    <col width="4" customWidth="1" style="76" min="19" max="19"/>
    <col width="25.625" customWidth="1" style="4" min="20" max="20"/>
    <col width="12.625" customWidth="1" style="4" min="21" max="21"/>
    <col width="9" customWidth="1" style="4" min="22" max="28"/>
    <col width="9" customWidth="1" style="4" min="29" max="16384"/>
  </cols>
  <sheetData>
    <row r="1" ht="33" customFormat="1" customHeight="1" s="1">
      <c r="A1" s="75" t="inlineStr">
        <is>
          <t>lane编号</t>
        </is>
      </c>
      <c r="B1" s="49" t="inlineStr">
        <is>
          <t>文库编号</t>
        </is>
      </c>
      <c r="C1" s="131" t="inlineStr">
        <is>
          <t>摩尔浓度(nM/L）</t>
        </is>
      </c>
      <c r="D1" s="132" t="inlineStr">
        <is>
          <t>数据量（G)</t>
        </is>
      </c>
      <c r="E1" s="132" t="inlineStr">
        <is>
          <t>文库摩尔质量（nM）</t>
        </is>
      </c>
      <c r="F1" s="133" t="inlineStr">
        <is>
          <t>最终取样体积（ul）</t>
        </is>
      </c>
      <c r="G1" s="131" t="inlineStr">
        <is>
          <t>混合文库摩尔质量总和</t>
        </is>
      </c>
      <c r="H1" s="131" t="inlineStr">
        <is>
          <t>混合文库总体积</t>
        </is>
      </c>
      <c r="I1" s="131" t="inlineStr">
        <is>
          <t>混合文库浓度（nM/L）</t>
        </is>
      </c>
      <c r="J1" s="9" t="inlineStr">
        <is>
          <t>备注</t>
        </is>
      </c>
      <c r="K1" s="134" t="n"/>
      <c r="L1" s="59" t="n"/>
      <c r="M1" s="53" t="n"/>
      <c r="N1" s="53" t="n"/>
      <c r="O1" s="53" t="n"/>
      <c r="P1" s="53" t="n"/>
      <c r="Q1" s="129" t="n"/>
      <c r="R1" s="54" t="n"/>
      <c r="S1" s="54" t="n"/>
    </row>
    <row r="34524" customFormat="1" s="111"/>
  </sheetData>
  <conditionalFormatting sqref="A1 A12 A25 A38:A1048576">
    <cfRule type="duplicateValues" priority="640" dxfId="0"/>
  </conditionalFormatting>
  <conditionalFormatting sqref="A1:A2 A12 A25 A38:A1048576">
    <cfRule type="duplicateValues" priority="579" dxfId="0"/>
  </conditionalFormatting>
  <conditionalFormatting sqref="A2">
    <cfRule type="duplicateValues" priority="631" dxfId="0"/>
  </conditionalFormatting>
  <conditionalFormatting sqref="A13">
    <cfRule type="duplicateValues" priority="346" dxfId="0"/>
  </conditionalFormatting>
  <conditionalFormatting sqref="A22">
    <cfRule type="duplicateValues" priority="267" dxfId="0"/>
  </conditionalFormatting>
  <conditionalFormatting sqref="A26">
    <cfRule type="duplicateValues" priority="78" dxfId="0"/>
  </conditionalFormatting>
  <conditionalFormatting sqref="B1 B12 B25 B38:B1048576">
    <cfRule type="duplicateValues" priority="761" dxfId="0"/>
  </conditionalFormatting>
  <conditionalFormatting sqref="B2">
    <cfRule type="duplicateValues" priority="636" dxfId="0"/>
  </conditionalFormatting>
  <conditionalFormatting sqref="B3">
    <cfRule type="duplicateValues" priority="551" dxfId="0"/>
  </conditionalFormatting>
  <conditionalFormatting sqref="B4">
    <cfRule type="duplicateValues" priority="550" dxfId="0"/>
  </conditionalFormatting>
  <conditionalFormatting sqref="B5">
    <cfRule type="duplicateValues" priority="549" dxfId="0"/>
  </conditionalFormatting>
  <conditionalFormatting sqref="B6">
    <cfRule type="duplicateValues" priority="548" dxfId="0"/>
  </conditionalFormatting>
  <conditionalFormatting sqref="B7">
    <cfRule type="duplicateValues" priority="547" dxfId="0"/>
  </conditionalFormatting>
  <conditionalFormatting sqref="B8">
    <cfRule type="duplicateValues" priority="546" dxfId="0"/>
  </conditionalFormatting>
  <conditionalFormatting sqref="B9">
    <cfRule type="duplicateValues" priority="545" dxfId="0"/>
  </conditionalFormatting>
  <conditionalFormatting sqref="B10">
    <cfRule type="duplicateValues" priority="544" dxfId="0"/>
  </conditionalFormatting>
  <conditionalFormatting sqref="B11">
    <cfRule type="duplicateValues" priority="543" dxfId="0"/>
  </conditionalFormatting>
  <conditionalFormatting sqref="B13">
    <cfRule type="duplicateValues" priority="401" dxfId="0"/>
  </conditionalFormatting>
  <conditionalFormatting sqref="B14">
    <cfRule type="duplicateValues" priority="400" dxfId="0"/>
  </conditionalFormatting>
  <conditionalFormatting sqref="B15">
    <cfRule type="duplicateValues" priority="352" dxfId="0"/>
  </conditionalFormatting>
  <conditionalFormatting sqref="B16">
    <cfRule type="duplicateValues" priority="351" dxfId="0"/>
  </conditionalFormatting>
  <conditionalFormatting sqref="B17">
    <cfRule type="duplicateValues" priority="350" dxfId="0"/>
  </conditionalFormatting>
  <conditionalFormatting sqref="B18">
    <cfRule type="duplicateValues" priority="349" dxfId="0"/>
  </conditionalFormatting>
  <conditionalFormatting sqref="B19">
    <cfRule type="duplicateValues" priority="348" dxfId="0"/>
  </conditionalFormatting>
  <conditionalFormatting sqref="B20">
    <cfRule type="duplicateValues" priority="347" dxfId="0"/>
  </conditionalFormatting>
  <conditionalFormatting sqref="B22">
    <cfRule type="duplicateValues" priority="355" dxfId="0"/>
  </conditionalFormatting>
  <conditionalFormatting sqref="B23">
    <cfRule type="duplicateValues" priority="354" dxfId="0"/>
  </conditionalFormatting>
  <conditionalFormatting sqref="B24">
    <cfRule type="duplicateValues" priority="353" dxfId="0"/>
  </conditionalFormatting>
  <conditionalFormatting sqref="B26">
    <cfRule type="duplicateValues" priority="174" dxfId="0"/>
  </conditionalFormatting>
  <conditionalFormatting sqref="B27">
    <cfRule type="duplicateValues" priority="173" dxfId="0"/>
  </conditionalFormatting>
  <conditionalFormatting sqref="B28">
    <cfRule type="duplicateValues" priority="172" dxfId="0"/>
  </conditionalFormatting>
  <conditionalFormatting sqref="B29">
    <cfRule type="duplicateValues" priority="171" dxfId="0"/>
  </conditionalFormatting>
  <conditionalFormatting sqref="B30">
    <cfRule type="duplicateValues" priority="170" dxfId="0"/>
  </conditionalFormatting>
  <conditionalFormatting sqref="B31">
    <cfRule type="duplicateValues" priority="169" dxfId="0"/>
  </conditionalFormatting>
  <conditionalFormatting sqref="B32">
    <cfRule type="duplicateValues" priority="168" dxfId="0"/>
  </conditionalFormatting>
  <conditionalFormatting sqref="B33">
    <cfRule type="duplicateValues" priority="167" dxfId="0"/>
  </conditionalFormatting>
  <conditionalFormatting sqref="B34">
    <cfRule type="duplicateValues" priority="166" dxfId="0"/>
  </conditionalFormatting>
  <conditionalFormatting sqref="B35">
    <cfRule type="duplicateValues" priority="165" dxfId="0"/>
  </conditionalFormatting>
  <conditionalFormatting sqref="B36">
    <cfRule type="duplicateValues" priority="164" dxfId="0"/>
  </conditionalFormatting>
  <conditionalFormatting sqref="B37">
    <cfRule type="duplicateValues" priority="163" dxfId="0"/>
  </conditionalFormatting>
  <conditionalFormatting sqref="F2:F11">
    <cfRule type="cellIs" priority="47" operator="greaterThan" dxfId="0">
      <formula>2.5</formula>
    </cfRule>
    <cfRule type="cellIs" priority="57" operator="lessThan" dxfId="0">
      <formula>0.3</formula>
    </cfRule>
  </conditionalFormatting>
  <conditionalFormatting sqref="F13:F20">
    <cfRule type="cellIs" priority="36" operator="lessThan" dxfId="0">
      <formula>0.3</formula>
    </cfRule>
    <cfRule type="cellIs" priority="25" operator="greaterThan" dxfId="0">
      <formula>2.5</formula>
    </cfRule>
  </conditionalFormatting>
  <conditionalFormatting sqref="F22:F24">
    <cfRule type="cellIs" priority="42" operator="lessThan" dxfId="0">
      <formula>0.3</formula>
    </cfRule>
    <cfRule type="cellIs" priority="31" operator="greaterThan" dxfId="0">
      <formula>2.5</formula>
    </cfRule>
  </conditionalFormatting>
  <conditionalFormatting sqref="F26:F37">
    <cfRule type="cellIs" priority="13" operator="lessThan" dxfId="0">
      <formula>0.3</formula>
    </cfRule>
    <cfRule type="cellIs" priority="1" operator="greaterThan" dxfId="0">
      <formula>2.5</formula>
    </cfRule>
  </conditionalFormatting>
  <conditionalFormatting sqref="P1 P12 P25 P38:P1048576">
    <cfRule type="duplicateValues" priority="766" dxfId="0"/>
  </conditionalFormatting>
  <conditionalFormatting sqref="P2">
    <cfRule type="duplicateValues" priority="637" dxfId="0"/>
  </conditionalFormatting>
  <conditionalFormatting sqref="P3">
    <cfRule type="duplicateValues" priority="560" dxfId="0"/>
  </conditionalFormatting>
  <conditionalFormatting sqref="P4">
    <cfRule type="duplicateValues" priority="559" dxfId="0"/>
  </conditionalFormatting>
  <conditionalFormatting sqref="P5">
    <cfRule type="duplicateValues" priority="558" dxfId="0"/>
  </conditionalFormatting>
  <conditionalFormatting sqref="P6">
    <cfRule type="duplicateValues" priority="557" dxfId="0"/>
  </conditionalFormatting>
  <conditionalFormatting sqref="P7">
    <cfRule type="duplicateValues" priority="556" dxfId="0"/>
  </conditionalFormatting>
  <conditionalFormatting sqref="P8">
    <cfRule type="duplicateValues" priority="555" dxfId="0"/>
  </conditionalFormatting>
  <conditionalFormatting sqref="P9">
    <cfRule type="duplicateValues" priority="554" dxfId="0"/>
  </conditionalFormatting>
  <conditionalFormatting sqref="P10">
    <cfRule type="duplicateValues" priority="553" dxfId="0"/>
  </conditionalFormatting>
  <conditionalFormatting sqref="P11">
    <cfRule type="duplicateValues" priority="552" dxfId="0"/>
  </conditionalFormatting>
  <conditionalFormatting sqref="P13">
    <cfRule type="duplicateValues" priority="412" dxfId="0"/>
  </conditionalFormatting>
  <conditionalFormatting sqref="P14">
    <cfRule type="duplicateValues" priority="411" dxfId="0"/>
  </conditionalFormatting>
  <conditionalFormatting sqref="P15">
    <cfRule type="duplicateValues" priority="407" dxfId="0"/>
  </conditionalFormatting>
  <conditionalFormatting sqref="P16">
    <cfRule type="duplicateValues" priority="406" dxfId="0"/>
  </conditionalFormatting>
  <conditionalFormatting sqref="P17">
    <cfRule type="duplicateValues" priority="405" dxfId="0"/>
  </conditionalFormatting>
  <conditionalFormatting sqref="P18">
    <cfRule type="duplicateValues" priority="404" dxfId="0"/>
  </conditionalFormatting>
  <conditionalFormatting sqref="P19">
    <cfRule type="duplicateValues" priority="403" dxfId="0"/>
  </conditionalFormatting>
  <conditionalFormatting sqref="P20">
    <cfRule type="duplicateValues" priority="402" dxfId="0"/>
  </conditionalFormatting>
  <conditionalFormatting sqref="P22">
    <cfRule type="duplicateValues" priority="410" dxfId="0"/>
  </conditionalFormatting>
  <conditionalFormatting sqref="P23">
    <cfRule type="duplicateValues" priority="409" dxfId="0"/>
  </conditionalFormatting>
  <conditionalFormatting sqref="P24">
    <cfRule type="duplicateValues" priority="408" dxfId="0"/>
  </conditionalFormatting>
  <conditionalFormatting sqref="P26">
    <cfRule type="duplicateValues" priority="234" dxfId="0"/>
  </conditionalFormatting>
  <conditionalFormatting sqref="P27">
    <cfRule type="duplicateValues" priority="233" dxfId="0"/>
  </conditionalFormatting>
  <conditionalFormatting sqref="P28">
    <cfRule type="duplicateValues" priority="232" dxfId="0"/>
  </conditionalFormatting>
  <conditionalFormatting sqref="P29">
    <cfRule type="duplicateValues" priority="231" dxfId="0"/>
  </conditionalFormatting>
  <conditionalFormatting sqref="P30">
    <cfRule type="duplicateValues" priority="230" dxfId="0"/>
  </conditionalFormatting>
  <conditionalFormatting sqref="P31">
    <cfRule type="duplicateValues" priority="229" dxfId="0"/>
  </conditionalFormatting>
  <conditionalFormatting sqref="P32">
    <cfRule type="duplicateValues" priority="228" dxfId="0"/>
  </conditionalFormatting>
  <conditionalFormatting sqref="P33">
    <cfRule type="duplicateValues" priority="227" dxfId="0"/>
  </conditionalFormatting>
  <conditionalFormatting sqref="P34">
    <cfRule type="duplicateValues" priority="226" dxfId="0"/>
  </conditionalFormatting>
  <conditionalFormatting sqref="P35">
    <cfRule type="duplicateValues" priority="225" dxfId="0"/>
  </conditionalFormatting>
  <conditionalFormatting sqref="P36">
    <cfRule type="duplicateValues" priority="224" dxfId="0"/>
  </conditionalFormatting>
  <conditionalFormatting sqref="P37">
    <cfRule type="duplicateValues" priority="223" dxfId="0"/>
  </conditionalFormatting>
  <printOptions horizontalCentered="1"/>
  <pageMargins left="0.75" right="0.75" top="0.98" bottom="0.98" header="0.51" footer="0.51"/>
  <pageSetup orientation="portrait" paperSize="9" scale="80" fitToWidth="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42"/>
  <sheetViews>
    <sheetView tabSelected="1" workbookViewId="0">
      <selection activeCell="C2" sqref="C2"/>
    </sheetView>
  </sheetViews>
  <sheetFormatPr baseColWidth="8" defaultColWidth="9" defaultRowHeight="14.25"/>
  <cols>
    <col width="15" bestFit="1" customWidth="1" style="78" min="1" max="1"/>
    <col width="15" bestFit="1" customWidth="1" style="78" min="2" max="2"/>
    <col width="17" bestFit="1" customWidth="1" style="78" min="3" max="3"/>
    <col width="12" bestFit="1" customWidth="1" style="78" min="4" max="6"/>
    <col width="26" customWidth="1" style="76" min="5" max="5"/>
    <col width="34" customWidth="1" style="76" min="6" max="6"/>
    <col width="19" bestFit="1" customWidth="1" style="78" min="7" max="7"/>
    <col width="14" bestFit="1" customWidth="1" style="78" min="8" max="8"/>
    <col width="17" customWidth="1" style="78" min="9" max="9"/>
    <col width="25" bestFit="1" customWidth="1" style="78" min="10" max="10"/>
    <col width="12" bestFit="1" customWidth="1" style="78" min="11" max="14"/>
    <col width="12" customWidth="1" style="76" min="12" max="12"/>
    <col width="12" customWidth="1" style="76" min="13" max="13"/>
    <col width="12" customWidth="1" style="76" min="14" max="14"/>
    <col width="9" customWidth="1" style="78" min="15" max="16384"/>
  </cols>
  <sheetData>
    <row r="1" ht="40" customHeight="1" s="76">
      <c r="A1" s="160" t="inlineStr">
        <is>
          <t>FlowCell_ID</t>
        </is>
      </c>
      <c r="B1" s="160" t="inlineStr">
        <is>
          <t>Lane_Number</t>
        </is>
      </c>
      <c r="C1" s="160" t="inlineStr">
        <is>
          <t>单lane产出(M)</t>
        </is>
      </c>
      <c r="D1" s="160" t="inlineStr">
        <is>
          <t>文库总数</t>
        </is>
      </c>
      <c r="E1" s="160" t="inlineStr">
        <is>
          <t>文库类型</t>
        </is>
      </c>
      <c r="F1" s="160" t="inlineStr">
        <is>
          <t>客户单位</t>
        </is>
      </c>
      <c r="G1" s="160" t="inlineStr">
        <is>
          <t>需求数据量（G）</t>
        </is>
      </c>
      <c r="H1" s="161" t="inlineStr">
        <is>
          <t>产出数据量</t>
        </is>
      </c>
      <c r="I1" s="161" t="inlineStr">
        <is>
          <t>欠缺数据量(G)</t>
        </is>
      </c>
      <c r="J1" s="160" t="inlineStr">
        <is>
          <t>数据量补测率</t>
        </is>
      </c>
      <c r="K1" s="160" t="inlineStr">
        <is>
          <t>上机模式</t>
        </is>
      </c>
      <c r="L1" s="162" t="inlineStr">
        <is>
          <t>调整比例</t>
        </is>
      </c>
      <c r="M1" s="160" t="inlineStr">
        <is>
          <t>操作人员</t>
        </is>
      </c>
      <c r="N1" s="163" t="inlineStr">
        <is>
          <t>分析原因</t>
        </is>
      </c>
    </row>
    <row r="2" ht="30" customHeight="1" s="76">
      <c r="A2" s="144" t="n"/>
      <c r="B2" s="144" t="inlineStr">
        <is>
          <t>B</t>
        </is>
      </c>
      <c r="C2" s="144" t="n"/>
      <c r="D2" s="164" t="n">
        <v>1</v>
      </c>
      <c r="E2" s="146" t="inlineStr">
        <is>
          <t>HIC文库</t>
        </is>
      </c>
      <c r="F2" s="146" t="inlineStr">
        <is>
          <t>安徽医科大学第一附属医院</t>
        </is>
      </c>
      <c r="G2" s="145" t="n">
        <v>800</v>
      </c>
      <c r="H2" s="159" t="n"/>
      <c r="I2" s="145">
        <f>H2-G2</f>
        <v/>
      </c>
      <c r="J2" s="165">
        <f>IF(G2=0,"",I2/G2)</f>
        <v/>
      </c>
      <c r="K2" s="144" t="inlineStr">
        <is>
          <t>PE150</t>
        </is>
      </c>
      <c r="L2" s="156" t="n"/>
      <c r="M2" s="156" t="n"/>
      <c r="N2" s="156" t="n"/>
    </row>
    <row r="3" ht="30" customHeight="1" s="76">
      <c r="A3" s="156" t="n"/>
      <c r="B3" s="156" t="n"/>
      <c r="C3" s="156" t="n"/>
      <c r="D3" s="164" t="n">
        <v>4</v>
      </c>
      <c r="E3" s="146" t="inlineStr">
        <is>
          <t>10X-3-转录组</t>
        </is>
      </c>
      <c r="F3" s="146" t="inlineStr">
        <is>
          <t>广州奥智生物科技有限公司</t>
        </is>
      </c>
      <c r="G3" s="145" t="n">
        <v>28</v>
      </c>
      <c r="H3" s="159" t="n"/>
      <c r="I3" s="145">
        <f>H3-G3</f>
        <v/>
      </c>
      <c r="J3" s="165">
        <f>IF(G3=0,"",I3/G3)</f>
        <v/>
      </c>
      <c r="K3" s="156" t="n"/>
      <c r="L3" s="156" t="n"/>
      <c r="M3" s="156" t="n"/>
      <c r="N3" s="156" t="n"/>
    </row>
    <row r="4" ht="30" customHeight="1" s="76">
      <c r="A4" s="156" t="n"/>
      <c r="B4" s="156" t="n"/>
      <c r="C4" s="156" t="n"/>
      <c r="D4" s="164" t="n">
        <v>2</v>
      </c>
      <c r="E4" s="146" t="inlineStr">
        <is>
          <t>10X-3-转录组</t>
        </is>
      </c>
      <c r="F4" s="146" t="inlineStr">
        <is>
          <t>广州奥智生物科技有限公司</t>
        </is>
      </c>
      <c r="G4" s="145" t="n">
        <v>23</v>
      </c>
      <c r="H4" s="159" t="n"/>
      <c r="I4" s="145">
        <f>H4-G4</f>
        <v/>
      </c>
      <c r="J4" s="165">
        <f>IF(G4=0,"",I4/G4)</f>
        <v/>
      </c>
      <c r="K4" s="156" t="n"/>
      <c r="L4" s="156" t="n"/>
      <c r="M4" s="156" t="n"/>
      <c r="N4" s="156" t="n"/>
    </row>
    <row r="5" ht="30" customHeight="1" s="76">
      <c r="A5" s="156" t="n"/>
      <c r="B5" s="156" t="n"/>
      <c r="C5" s="156" t="n"/>
      <c r="D5" s="164" t="n">
        <v>73</v>
      </c>
      <c r="E5" s="146" t="inlineStr">
        <is>
          <t>宏基因组</t>
        </is>
      </c>
      <c r="F5" s="146" t="inlineStr">
        <is>
          <t>广州奥智生物科技有限公司</t>
        </is>
      </c>
      <c r="G5" s="145" t="n">
        <v>584</v>
      </c>
      <c r="H5" s="159" t="n"/>
      <c r="I5" s="145">
        <f>H5-G5</f>
        <v/>
      </c>
      <c r="J5" s="165">
        <f>IF(G5=0,"",I5/G5)</f>
        <v/>
      </c>
      <c r="K5" s="156" t="n"/>
      <c r="L5" s="156" t="n"/>
      <c r="M5" s="156" t="n"/>
      <c r="N5" s="156" t="n"/>
    </row>
    <row r="6" ht="30" customHeight="1" s="76">
      <c r="A6" s="156" t="n"/>
      <c r="B6" s="156" t="n"/>
      <c r="C6" s="156" t="n"/>
      <c r="D6" s="164" t="n">
        <v>9</v>
      </c>
      <c r="E6" s="146" t="inlineStr">
        <is>
          <t>无参转录组（RNA-seq）</t>
        </is>
      </c>
      <c r="F6" s="146" t="inlineStr">
        <is>
          <t>广州奥智生物科技有限公司</t>
        </is>
      </c>
      <c r="G6" s="145" t="n">
        <v>45</v>
      </c>
      <c r="H6" s="159" t="n"/>
      <c r="I6" s="145">
        <f>H6-G6</f>
        <v/>
      </c>
      <c r="J6" s="165">
        <f>IF(G6=0,"",I6/G6)</f>
        <v/>
      </c>
      <c r="K6" s="156" t="n"/>
      <c r="L6" s="156" t="n"/>
      <c r="M6" s="156" t="n"/>
      <c r="N6" s="156" t="n"/>
    </row>
    <row r="7" ht="30" customHeight="1" s="76">
      <c r="A7" s="156" t="n"/>
      <c r="B7" s="156" t="n"/>
      <c r="C7" s="156" t="n"/>
      <c r="D7" s="164" t="n">
        <v>109</v>
      </c>
      <c r="E7" s="146" t="inlineStr">
        <is>
          <t>有参转录组（RNA-seq）</t>
        </is>
      </c>
      <c r="F7" s="146" t="inlineStr">
        <is>
          <t>广州奥智生物科技有限公司</t>
        </is>
      </c>
      <c r="G7" s="145" t="n">
        <v>545</v>
      </c>
      <c r="H7" s="159" t="n"/>
      <c r="I7" s="145">
        <f>H7-G7</f>
        <v/>
      </c>
      <c r="J7" s="165">
        <f>IF(G7=0,"",I7/G7)</f>
        <v/>
      </c>
      <c r="K7" s="156" t="n"/>
      <c r="L7" s="156" t="n"/>
      <c r="M7" s="156" t="n"/>
      <c r="N7" s="156" t="n"/>
    </row>
    <row r="8" ht="30" customHeight="1" s="76">
      <c r="A8" s="156" t="n"/>
      <c r="B8" s="156" t="n"/>
      <c r="C8" s="156" t="n"/>
      <c r="D8" s="164" t="n">
        <v>6</v>
      </c>
      <c r="E8" s="146" t="inlineStr">
        <is>
          <t>有参转录组（RNA-seq）</t>
        </is>
      </c>
      <c r="F8" s="146" t="inlineStr">
        <is>
          <t>广州奥智生物科技有限公司</t>
        </is>
      </c>
      <c r="G8" s="145" t="n">
        <v>30</v>
      </c>
      <c r="H8" s="159" t="n"/>
      <c r="I8" s="145">
        <f>H8-G8</f>
        <v/>
      </c>
      <c r="J8" s="165">
        <f>IF(G8=0,"",I8/G8)</f>
        <v/>
      </c>
      <c r="K8" s="156" t="n"/>
      <c r="L8" s="156" t="n"/>
      <c r="M8" s="156" t="n"/>
      <c r="N8" s="156" t="n"/>
    </row>
    <row r="9" ht="30" customHeight="1" s="76">
      <c r="A9" s="156" t="n"/>
      <c r="B9" s="156" t="n"/>
      <c r="C9" s="156" t="n"/>
      <c r="D9" s="164" t="n">
        <v>1</v>
      </c>
      <c r="E9" s="146" t="inlineStr">
        <is>
          <t>singleron-3'转录组文库</t>
        </is>
      </c>
      <c r="F9" s="146" t="inlineStr">
        <is>
          <t>南京通元医学检验实验室有限公司</t>
        </is>
      </c>
      <c r="G9" s="145" t="n">
        <v>30</v>
      </c>
      <c r="H9" s="159" t="n"/>
      <c r="I9" s="145">
        <f>H9-G9</f>
        <v/>
      </c>
      <c r="J9" s="165">
        <f>IF(G9=0,"",I9/G9)</f>
        <v/>
      </c>
      <c r="K9" s="156" t="n"/>
      <c r="L9" s="156" t="n"/>
      <c r="M9" s="156" t="n"/>
      <c r="N9" s="156" t="n"/>
    </row>
    <row r="10" ht="30" customHeight="1" s="76">
      <c r="A10" s="156" t="n"/>
      <c r="B10" s="156" t="n"/>
      <c r="C10" s="156" t="n"/>
      <c r="D10" s="164" t="n">
        <v>1</v>
      </c>
      <c r="E10" s="146" t="inlineStr">
        <is>
          <t>10x3′单细胞转录组</t>
        </is>
      </c>
      <c r="F10" s="146" t="inlineStr">
        <is>
          <t>广州承启生物科技有限公司</t>
        </is>
      </c>
      <c r="G10" s="145" t="n">
        <v>100</v>
      </c>
      <c r="H10" s="159" t="n"/>
      <c r="I10" s="145">
        <f>H10-G10</f>
        <v/>
      </c>
      <c r="J10" s="165">
        <f>IF(G10=0,"",I10/G10)</f>
        <v/>
      </c>
      <c r="K10" s="156" t="n"/>
      <c r="L10" s="156" t="n"/>
      <c r="M10" s="156" t="n"/>
      <c r="N10" s="156" t="n"/>
    </row>
    <row r="11" ht="30" customHeight="1" s="76">
      <c r="A11" s="156" t="n"/>
      <c r="B11" s="156" t="n"/>
      <c r="C11" s="156" t="n"/>
      <c r="D11" s="164" t="n">
        <v>3</v>
      </c>
      <c r="E11" s="146" t="inlineStr">
        <is>
          <t>BD</t>
        </is>
      </c>
      <c r="F11" s="146" t="inlineStr">
        <is>
          <t>武汉瑞兴生物科技有限公司</t>
        </is>
      </c>
      <c r="G11" s="145" t="n">
        <v>135</v>
      </c>
      <c r="H11" s="159" t="n"/>
      <c r="I11" s="145">
        <f>H11-G11</f>
        <v/>
      </c>
      <c r="J11" s="165">
        <f>IF(G11=0,"",I11/G11)</f>
        <v/>
      </c>
      <c r="K11" s="156" t="n"/>
      <c r="L11" s="156" t="n"/>
      <c r="M11" s="156" t="n"/>
      <c r="N11" s="156" t="n"/>
    </row>
    <row r="12" ht="30" customHeight="1" s="76">
      <c r="A12" s="156" t="n"/>
      <c r="B12" s="156" t="n"/>
      <c r="C12" s="156" t="n"/>
      <c r="D12" s="164" t="n">
        <v>7</v>
      </c>
      <c r="E12" s="146" t="inlineStr">
        <is>
          <t>BD-单细胞</t>
        </is>
      </c>
      <c r="F12" s="146" t="inlineStr">
        <is>
          <t>江西烈冰生物科技有限公司</t>
        </is>
      </c>
      <c r="G12" s="145" t="n">
        <v>117</v>
      </c>
      <c r="H12" s="159" t="n"/>
      <c r="I12" s="145">
        <f>H12-G12</f>
        <v/>
      </c>
      <c r="J12" s="165">
        <f>IF(G12=0,"",I12/G12)</f>
        <v/>
      </c>
      <c r="K12" s="156" t="n"/>
      <c r="L12" s="156" t="n"/>
      <c r="M12" s="156" t="n"/>
      <c r="N12" s="156" t="n"/>
    </row>
    <row r="13" ht="30" customHeight="1" s="76">
      <c r="A13" s="156" t="n"/>
      <c r="B13" s="156" t="n"/>
      <c r="C13" s="156" t="n"/>
      <c r="D13" s="164" t="n">
        <v>1</v>
      </c>
      <c r="E13" s="146" t="inlineStr">
        <is>
          <t>BD</t>
        </is>
      </c>
      <c r="F13" s="146" t="inlineStr">
        <is>
          <t>武汉瑞兴生物科技有限公司</t>
        </is>
      </c>
      <c r="G13" s="145" t="n">
        <v>30</v>
      </c>
      <c r="H13" s="159" t="n"/>
      <c r="I13" s="145">
        <f>H13-G13</f>
        <v/>
      </c>
      <c r="J13" s="165">
        <f>IF(G13=0,"",I13/G13)</f>
        <v/>
      </c>
      <c r="K13" s="156" t="n"/>
      <c r="L13" s="156" t="n"/>
      <c r="M13" s="156" t="n"/>
      <c r="N13" s="156" t="n"/>
    </row>
    <row r="14" ht="30" customHeight="1" s="76">
      <c r="A14" s="156" t="n"/>
      <c r="B14" s="156" t="n"/>
      <c r="C14" s="156" t="n"/>
      <c r="D14" s="164" t="n">
        <v>1</v>
      </c>
      <c r="E14" s="146" t="inlineStr">
        <is>
          <t>华大-C4-oligo</t>
        </is>
      </c>
      <c r="F14" s="146" t="inlineStr">
        <is>
          <t>广州奥智生物科技有限公司</t>
        </is>
      </c>
      <c r="G14" s="145" t="n">
        <v>0.5</v>
      </c>
      <c r="H14" s="159" t="n"/>
      <c r="I14" s="145">
        <f>H14-G14</f>
        <v/>
      </c>
      <c r="J14" s="165">
        <f>IF(G14=0,"",I14/G14)</f>
        <v/>
      </c>
      <c r="K14" s="156" t="n"/>
      <c r="L14" s="156" t="n"/>
      <c r="M14" s="156" t="n"/>
      <c r="N14" s="156" t="n"/>
    </row>
    <row r="15" ht="30" customHeight="1" s="76">
      <c r="A15" s="156" t="n"/>
      <c r="B15" s="156" t="n"/>
      <c r="C15" s="156" t="n"/>
      <c r="D15" s="164" t="n">
        <v>3</v>
      </c>
      <c r="E15" s="146" t="inlineStr">
        <is>
          <t>华大-C4-转录组</t>
        </is>
      </c>
      <c r="F15" s="146" t="inlineStr">
        <is>
          <t>广州奥智生物科技有限公司</t>
        </is>
      </c>
      <c r="G15" s="145" t="n">
        <v>111.5</v>
      </c>
      <c r="H15" s="159" t="n"/>
      <c r="I15" s="145">
        <f>H15-G15</f>
        <v/>
      </c>
      <c r="J15" s="165">
        <f>IF(G15=0,"",I15/G15)</f>
        <v/>
      </c>
      <c r="K15" s="156" t="n"/>
      <c r="L15" s="156" t="n"/>
      <c r="M15" s="156" t="n"/>
      <c r="N15" s="156" t="n"/>
    </row>
    <row r="16" ht="30" customHeight="1" s="76">
      <c r="A16" s="156" t="n"/>
      <c r="B16" s="156" t="n"/>
      <c r="C16" s="156" t="n"/>
      <c r="D16" s="164" t="n">
        <v>9</v>
      </c>
      <c r="E16" s="146" t="inlineStr">
        <is>
          <t>华大-C4-转录组</t>
        </is>
      </c>
      <c r="F16" s="146" t="inlineStr">
        <is>
          <t>广州奥智生物科技有限公司</t>
        </is>
      </c>
      <c r="G16" s="145" t="n">
        <v>846</v>
      </c>
      <c r="H16" s="159" t="n"/>
      <c r="I16" s="145">
        <f>H16-G16</f>
        <v/>
      </c>
      <c r="J16" s="165">
        <f>IF(G16=0,"",I16/G16)</f>
        <v/>
      </c>
      <c r="K16" s="156" t="n"/>
      <c r="L16" s="156" t="n"/>
      <c r="M16" s="156" t="n"/>
      <c r="N16" s="156" t="n"/>
    </row>
    <row r="17" ht="30" customHeight="1" s="76">
      <c r="A17" s="156" t="n"/>
      <c r="B17" s="156" t="n"/>
      <c r="C17" s="156" t="n"/>
      <c r="D17" s="164" t="n">
        <v>2</v>
      </c>
      <c r="E17" s="146" t="inlineStr">
        <is>
          <t>华大-C4-转录组</t>
        </is>
      </c>
      <c r="F17" s="146" t="inlineStr">
        <is>
          <t>广州奥智生物科技有限公司</t>
        </is>
      </c>
      <c r="G17" s="145" t="n">
        <v>176</v>
      </c>
      <c r="H17" s="159" t="n"/>
      <c r="I17" s="145">
        <f>H17-G17</f>
        <v/>
      </c>
      <c r="J17" s="165">
        <f>IF(G17=0,"",I17/G17)</f>
        <v/>
      </c>
      <c r="K17" s="156" t="n"/>
      <c r="L17" s="156" t="n"/>
      <c r="M17" s="156" t="n"/>
      <c r="N17" s="156" t="n"/>
    </row>
    <row r="18" ht="30" customHeight="1" s="76">
      <c r="A18" s="156" t="n"/>
      <c r="B18" s="156" t="n"/>
      <c r="C18" s="156" t="n"/>
      <c r="D18" s="164" t="n">
        <v>1</v>
      </c>
      <c r="E18" s="146" t="inlineStr">
        <is>
          <t>基因组文库</t>
        </is>
      </c>
      <c r="F18" s="146" t="inlineStr">
        <is>
          <t>武汉百易汇能生物科技有限公司</t>
        </is>
      </c>
      <c r="G18" s="145" t="n">
        <v>35</v>
      </c>
      <c r="H18" s="159" t="n"/>
      <c r="I18" s="145">
        <f>H18-G18</f>
        <v/>
      </c>
      <c r="J18" s="165">
        <f>IF(G18=0,"",I18/G18)</f>
        <v/>
      </c>
      <c r="K18" s="156" t="n"/>
      <c r="L18" s="156" t="n"/>
      <c r="M18" s="156" t="n"/>
      <c r="N18" s="156" t="n"/>
    </row>
    <row r="19" ht="30" customHeight="1" s="76">
      <c r="A19" s="156" t="n"/>
      <c r="B19" s="156" t="n"/>
      <c r="C19" s="156" t="n"/>
      <c r="D19" s="164" t="n">
        <v>13</v>
      </c>
      <c r="E19" s="146" t="inlineStr">
        <is>
          <t>转录组文库</t>
        </is>
      </c>
      <c r="F19" s="146" t="inlineStr">
        <is>
          <t>武汉百易汇能生物科技有限公司</t>
        </is>
      </c>
      <c r="G19" s="145" t="n">
        <v>28</v>
      </c>
      <c r="H19" s="159" t="n"/>
      <c r="I19" s="145">
        <f>H19-G19</f>
        <v/>
      </c>
      <c r="J19" s="165">
        <f>IF(G19=0,"",I19/G19)</f>
        <v/>
      </c>
      <c r="K19" s="156" t="n"/>
      <c r="L19" s="156" t="n"/>
      <c r="M19" s="156" t="n"/>
      <c r="N19" s="156" t="n"/>
    </row>
    <row r="20" ht="30" customHeight="1" s="76">
      <c r="A20" s="144" t="n"/>
      <c r="B20" s="144" t="inlineStr">
        <is>
          <t>C</t>
        </is>
      </c>
      <c r="C20" s="144" t="n"/>
      <c r="D20" s="164" t="n">
        <v>1</v>
      </c>
      <c r="E20" s="146" t="inlineStr">
        <is>
          <t>10X-3-转录组</t>
        </is>
      </c>
      <c r="F20" s="146" t="inlineStr">
        <is>
          <t>广州奥智生物科技有限公司</t>
        </is>
      </c>
      <c r="G20" s="145" t="n">
        <v>90</v>
      </c>
      <c r="H20" s="159" t="n"/>
      <c r="I20" s="145">
        <f>H20-G20</f>
        <v/>
      </c>
      <c r="J20" s="165">
        <f>IF(G20=0,"",I20/G20)</f>
        <v/>
      </c>
      <c r="K20" s="144" t="inlineStr">
        <is>
          <t>PE150</t>
        </is>
      </c>
      <c r="L20" s="156" t="n"/>
      <c r="M20" s="156" t="n"/>
      <c r="N20" s="156" t="n"/>
    </row>
    <row r="21" ht="30" customHeight="1" s="76">
      <c r="A21" s="156" t="n"/>
      <c r="B21" s="156" t="n"/>
      <c r="C21" s="156" t="n"/>
      <c r="D21" s="164" t="n">
        <v>1</v>
      </c>
      <c r="E21" s="146" t="inlineStr">
        <is>
          <t>10X-BCR</t>
        </is>
      </c>
      <c r="F21" s="146" t="inlineStr">
        <is>
          <t>广州奥智生物科技有限公司</t>
        </is>
      </c>
      <c r="G21" s="145" t="n">
        <v>6</v>
      </c>
      <c r="H21" s="159" t="n"/>
      <c r="I21" s="145">
        <f>H21-G21</f>
        <v/>
      </c>
      <c r="J21" s="165">
        <f>IF(G21=0,"",I21/G21)</f>
        <v/>
      </c>
      <c r="K21" s="156" t="n"/>
      <c r="L21" s="156" t="n"/>
      <c r="M21" s="156" t="n"/>
      <c r="N21" s="156" t="n"/>
    </row>
    <row r="22" ht="30" customHeight="1" s="76">
      <c r="A22" s="156" t="n"/>
      <c r="B22" s="156" t="n"/>
      <c r="C22" s="156" t="n"/>
      <c r="D22" s="164" t="n">
        <v>62</v>
      </c>
      <c r="E22" s="146" t="inlineStr">
        <is>
          <t>有参转录组（RNA-seq）</t>
        </is>
      </c>
      <c r="F22" s="146" t="inlineStr">
        <is>
          <t>广州奥智生物科技有限公司</t>
        </is>
      </c>
      <c r="G22" s="145" t="n">
        <v>310</v>
      </c>
      <c r="H22" s="159" t="n"/>
      <c r="I22" s="145">
        <f>H22-G22</f>
        <v/>
      </c>
      <c r="J22" s="165">
        <f>IF(G22=0,"",I22/G22)</f>
        <v/>
      </c>
      <c r="K22" s="156" t="n"/>
      <c r="L22" s="156" t="n"/>
      <c r="M22" s="156" t="n"/>
      <c r="N22" s="156" t="n"/>
    </row>
    <row r="23" ht="30" customHeight="1" s="76">
      <c r="A23" s="156" t="n"/>
      <c r="B23" s="156" t="n"/>
      <c r="C23" s="156" t="n"/>
      <c r="D23" s="164" t="n">
        <v>2</v>
      </c>
      <c r="E23" s="146" t="inlineStr">
        <is>
          <t>mRNA-T7</t>
        </is>
      </c>
      <c r="F23" s="146" t="inlineStr">
        <is>
          <t>南华大学</t>
        </is>
      </c>
      <c r="G23" s="145" t="n">
        <v>12</v>
      </c>
      <c r="H23" s="159" t="n"/>
      <c r="I23" s="145">
        <f>H23-G23</f>
        <v/>
      </c>
      <c r="J23" s="165">
        <f>IF(G23=0,"",I23/G23)</f>
        <v/>
      </c>
      <c r="K23" s="156" t="n"/>
      <c r="L23" s="156" t="n"/>
      <c r="M23" s="156" t="n"/>
      <c r="N23" s="156" t="n"/>
    </row>
    <row r="24" ht="30" customHeight="1" s="76">
      <c r="A24" s="156" t="n"/>
      <c r="B24" s="156" t="n"/>
      <c r="C24" s="156" t="n"/>
      <c r="D24" s="164" t="n">
        <v>1</v>
      </c>
      <c r="E24" s="146" t="inlineStr">
        <is>
          <t>HIC文库</t>
        </is>
      </c>
      <c r="F24" s="146" t="inlineStr">
        <is>
          <t>安徽医科大学第一附属医院</t>
        </is>
      </c>
      <c r="G24" s="145" t="n">
        <v>800</v>
      </c>
      <c r="H24" s="159" t="n"/>
      <c r="I24" s="145">
        <f>H24-G24</f>
        <v/>
      </c>
      <c r="J24" s="165">
        <f>IF(G24=0,"",I24/G24)</f>
        <v/>
      </c>
      <c r="K24" s="156" t="n"/>
      <c r="L24" s="156" t="n"/>
      <c r="M24" s="156" t="n"/>
      <c r="N24" s="156" t="n"/>
    </row>
    <row r="25" ht="30" customHeight="1" s="76">
      <c r="A25" s="156" t="n"/>
      <c r="B25" s="156" t="n"/>
      <c r="C25" s="156" t="n"/>
      <c r="D25" s="164" t="n">
        <v>4</v>
      </c>
      <c r="E25" s="146" t="inlineStr">
        <is>
          <t>WGS</t>
        </is>
      </c>
      <c r="F25" s="146" t="inlineStr">
        <is>
          <t>深圳市艾斯基因科技有限公司</t>
        </is>
      </c>
      <c r="G25" s="145" t="n">
        <v>360</v>
      </c>
      <c r="H25" s="159" t="n"/>
      <c r="I25" s="145">
        <f>H25-G25</f>
        <v/>
      </c>
      <c r="J25" s="165">
        <f>IF(G25=0,"",I25/G25)</f>
        <v/>
      </c>
      <c r="K25" s="156" t="n"/>
      <c r="L25" s="156" t="n"/>
      <c r="M25" s="156" t="n"/>
      <c r="N25" s="156" t="n"/>
    </row>
    <row r="26" ht="30" customHeight="1" s="76">
      <c r="A26" s="156" t="n"/>
      <c r="B26" s="156" t="n"/>
      <c r="C26" s="156" t="n"/>
      <c r="D26" s="164" t="n">
        <v>1</v>
      </c>
      <c r="E26" s="146" t="inlineStr">
        <is>
          <t>mRNA-T7</t>
        </is>
      </c>
      <c r="F26" s="146" t="inlineStr">
        <is>
          <t>南华大学附属第二医院</t>
        </is>
      </c>
      <c r="G26" s="145" t="n">
        <v>204</v>
      </c>
      <c r="H26" s="159" t="n"/>
      <c r="I26" s="145">
        <f>H26-G26</f>
        <v/>
      </c>
      <c r="J26" s="165">
        <f>IF(G26=0,"",I26/G26)</f>
        <v/>
      </c>
      <c r="K26" s="156" t="n"/>
      <c r="L26" s="156" t="n"/>
      <c r="M26" s="156" t="n"/>
      <c r="N26" s="156" t="n"/>
    </row>
    <row r="27" ht="30" customHeight="1" s="76">
      <c r="A27" s="156" t="n"/>
      <c r="B27" s="156" t="n"/>
      <c r="C27" s="156" t="n"/>
      <c r="D27" s="164" t="n">
        <v>1</v>
      </c>
      <c r="E27" s="146" t="inlineStr">
        <is>
          <t>mRNA-T7</t>
        </is>
      </c>
      <c r="F27" s="146" t="inlineStr">
        <is>
          <t>南方医科大学南方医院</t>
        </is>
      </c>
      <c r="G27" s="145" t="n">
        <v>162</v>
      </c>
      <c r="H27" s="159" t="n"/>
      <c r="I27" s="145">
        <f>H27-G27</f>
        <v/>
      </c>
      <c r="J27" s="165">
        <f>IF(G27=0,"",I27/G27)</f>
        <v/>
      </c>
      <c r="K27" s="156" t="n"/>
      <c r="L27" s="156" t="n"/>
      <c r="M27" s="156" t="n"/>
      <c r="N27" s="156" t="n"/>
    </row>
    <row r="28" ht="30" customHeight="1" s="76">
      <c r="A28" s="156" t="n"/>
      <c r="B28" s="156" t="n"/>
      <c r="C28" s="156" t="n"/>
      <c r="D28" s="164" t="n">
        <v>7</v>
      </c>
      <c r="E28" s="146" t="inlineStr">
        <is>
          <t>华大-C4-oligo</t>
        </is>
      </c>
      <c r="F28" s="146" t="inlineStr">
        <is>
          <t>广州奥智生物科技有限公司</t>
        </is>
      </c>
      <c r="G28" s="145" t="n">
        <v>14</v>
      </c>
      <c r="H28" s="159" t="n"/>
      <c r="I28" s="145">
        <f>H28-G28</f>
        <v/>
      </c>
      <c r="J28" s="165">
        <f>IF(G28=0,"",I28/G28)</f>
        <v/>
      </c>
      <c r="K28" s="156" t="n"/>
      <c r="L28" s="156" t="n"/>
      <c r="M28" s="156" t="n"/>
      <c r="N28" s="156" t="n"/>
    </row>
    <row r="29" ht="30" customHeight="1" s="76">
      <c r="A29" s="156" t="n"/>
      <c r="B29" s="156" t="n"/>
      <c r="C29" s="156" t="n"/>
      <c r="D29" s="164" t="n">
        <v>10</v>
      </c>
      <c r="E29" s="146" t="inlineStr">
        <is>
          <t>华大-C4-转录组</t>
        </is>
      </c>
      <c r="F29" s="146" t="inlineStr">
        <is>
          <t>广州奥智生物科技有限公司</t>
        </is>
      </c>
      <c r="G29" s="145" t="n">
        <v>916</v>
      </c>
      <c r="H29" s="159" t="n"/>
      <c r="I29" s="145">
        <f>H29-G29</f>
        <v/>
      </c>
      <c r="J29" s="165">
        <f>IF(G29=0,"",I29/G29)</f>
        <v/>
      </c>
      <c r="K29" s="156" t="n"/>
      <c r="L29" s="156" t="n"/>
      <c r="M29" s="156" t="n"/>
      <c r="N29" s="156" t="n"/>
    </row>
    <row r="30" ht="30" customHeight="1" s="76">
      <c r="A30" s="156" t="n"/>
      <c r="B30" s="156" t="n"/>
      <c r="C30" s="156" t="n"/>
      <c r="D30" s="164" t="n">
        <v>6</v>
      </c>
      <c r="E30" s="146" t="inlineStr">
        <is>
          <t>华大-C4-转录组</t>
        </is>
      </c>
      <c r="F30" s="146" t="inlineStr">
        <is>
          <t>广州奥智生物科技有限公司</t>
        </is>
      </c>
      <c r="G30" s="145" t="n">
        <v>528</v>
      </c>
      <c r="H30" s="159" t="n"/>
      <c r="I30" s="145">
        <f>H30-G30</f>
        <v/>
      </c>
      <c r="J30" s="165">
        <f>IF(G30=0,"",I30/G30)</f>
        <v/>
      </c>
      <c r="K30" s="156" t="n"/>
      <c r="L30" s="156" t="n"/>
      <c r="M30" s="156" t="n"/>
      <c r="N30" s="156" t="n"/>
    </row>
    <row r="31" ht="30" customHeight="1" s="76">
      <c r="A31" s="156" t="n"/>
      <c r="B31" s="156" t="n"/>
      <c r="C31" s="156" t="n"/>
      <c r="D31" s="164" t="n">
        <v>15</v>
      </c>
      <c r="E31" s="146" t="inlineStr">
        <is>
          <t>基因组文库</t>
        </is>
      </c>
      <c r="F31" s="146" t="inlineStr">
        <is>
          <t>武汉百易汇能生物科技有限公司</t>
        </is>
      </c>
      <c r="G31" s="145" t="n">
        <v>150</v>
      </c>
      <c r="H31" s="159" t="n"/>
      <c r="I31" s="145">
        <f>H31-G31</f>
        <v/>
      </c>
      <c r="J31" s="165">
        <f>IF(G31=0,"",I31/G31)</f>
        <v/>
      </c>
      <c r="K31" s="156" t="n"/>
      <c r="L31" s="156" t="n"/>
      <c r="M31" s="156" t="n"/>
      <c r="N31" s="156" t="n"/>
    </row>
    <row r="32" ht="30" customHeight="1" s="76">
      <c r="A32" s="156" t="n"/>
      <c r="B32" s="156" t="n"/>
      <c r="C32" s="156" t="n"/>
      <c r="D32" s="164" t="n">
        <v>16</v>
      </c>
      <c r="E32" s="146" t="inlineStr">
        <is>
          <t>转录组文库</t>
        </is>
      </c>
      <c r="F32" s="146" t="inlineStr">
        <is>
          <t>武汉百易汇能生物科技有限公司</t>
        </is>
      </c>
      <c r="G32" s="145" t="n">
        <v>96</v>
      </c>
      <c r="H32" s="159" t="n"/>
      <c r="I32" s="145">
        <f>H32-G32</f>
        <v/>
      </c>
      <c r="J32" s="165">
        <f>IF(G32=0,"",I32/G32)</f>
        <v/>
      </c>
      <c r="K32" s="156" t="n"/>
      <c r="L32" s="156" t="n"/>
      <c r="M32" s="156" t="n"/>
      <c r="N32" s="156" t="n"/>
    </row>
    <row r="33" ht="30" customHeight="1" s="76">
      <c r="A33" s="144" t="n"/>
      <c r="B33" s="144" t="inlineStr">
        <is>
          <t>D</t>
        </is>
      </c>
      <c r="C33" s="144" t="n"/>
      <c r="D33" s="164" t="n">
        <v>7</v>
      </c>
      <c r="E33" s="146" t="inlineStr">
        <is>
          <t>有参转录组（RNA-seq）</t>
        </is>
      </c>
      <c r="F33" s="146" t="inlineStr">
        <is>
          <t>广州奥智生物科技有限公司</t>
        </is>
      </c>
      <c r="G33" s="145" t="n">
        <v>35</v>
      </c>
      <c r="H33" s="159" t="n"/>
      <c r="I33" s="145">
        <f>H33-G33</f>
        <v/>
      </c>
      <c r="J33" s="165">
        <f>IF(G33=0,"",I33/G33)</f>
        <v/>
      </c>
      <c r="K33" s="144" t="inlineStr">
        <is>
          <t>PE150</t>
        </is>
      </c>
      <c r="L33" s="156" t="n"/>
      <c r="M33" s="156" t="n"/>
      <c r="N33" s="156" t="n"/>
    </row>
    <row r="34" ht="30" customHeight="1" s="76">
      <c r="A34" s="156" t="n"/>
      <c r="B34" s="156" t="n"/>
      <c r="C34" s="156" t="n"/>
      <c r="D34" s="164" t="n">
        <v>193</v>
      </c>
      <c r="E34" s="146" t="inlineStr">
        <is>
          <t>有参转录组（RNA-seq）</t>
        </is>
      </c>
      <c r="F34" s="146" t="inlineStr">
        <is>
          <t>广州奥智生物科技有限公司</t>
        </is>
      </c>
      <c r="G34" s="145" t="n">
        <v>965</v>
      </c>
      <c r="H34" s="159" t="n"/>
      <c r="I34" s="145">
        <f>H34-G34</f>
        <v/>
      </c>
      <c r="J34" s="165">
        <f>IF(G34=0,"",I34/G34)</f>
        <v/>
      </c>
      <c r="K34" s="156" t="n"/>
      <c r="L34" s="156" t="n"/>
      <c r="M34" s="156" t="n"/>
      <c r="N34" s="156" t="n"/>
    </row>
    <row r="35" ht="30" customHeight="1" s="76">
      <c r="A35" s="156" t="n"/>
      <c r="B35" s="156" t="n"/>
      <c r="C35" s="156" t="n"/>
      <c r="D35" s="164" t="n">
        <v>60</v>
      </c>
      <c r="E35" s="146" t="inlineStr">
        <is>
          <t>有参转录组（RNA-seq）</t>
        </is>
      </c>
      <c r="F35" s="146" t="inlineStr">
        <is>
          <t>广州奥智生物科技有限公司</t>
        </is>
      </c>
      <c r="G35" s="145" t="n">
        <v>300</v>
      </c>
      <c r="H35" s="159" t="n"/>
      <c r="I35" s="145">
        <f>H35-G35</f>
        <v/>
      </c>
      <c r="J35" s="165">
        <f>IF(G35=0,"",I35/G35)</f>
        <v/>
      </c>
      <c r="K35" s="156" t="n"/>
      <c r="L35" s="156" t="n"/>
      <c r="M35" s="156" t="n"/>
      <c r="N35" s="156" t="n"/>
    </row>
    <row r="36" ht="30" customHeight="1" s="76">
      <c r="A36" s="156" t="n"/>
      <c r="B36" s="156" t="n"/>
      <c r="C36" s="156" t="n"/>
      <c r="D36" s="164" t="n">
        <v>10</v>
      </c>
      <c r="E36" s="146" t="inlineStr">
        <is>
          <t>有参转录组（RNA-seq）</t>
        </is>
      </c>
      <c r="F36" s="146" t="inlineStr">
        <is>
          <t>广州基迪奥科技服务有限公司</t>
        </is>
      </c>
      <c r="G36" s="145" t="n">
        <v>50</v>
      </c>
      <c r="H36" s="159" t="n"/>
      <c r="I36" s="145">
        <f>H36-G36</f>
        <v/>
      </c>
      <c r="J36" s="165">
        <f>IF(G36=0,"",I36/G36)</f>
        <v/>
      </c>
      <c r="K36" s="156" t="n"/>
      <c r="L36" s="156" t="n"/>
      <c r="M36" s="156" t="n"/>
      <c r="N36" s="156" t="n"/>
    </row>
    <row r="37" ht="30" customHeight="1" s="76">
      <c r="A37" s="156" t="n"/>
      <c r="B37" s="156" t="n"/>
      <c r="C37" s="156" t="n"/>
      <c r="D37" s="164" t="n">
        <v>4</v>
      </c>
      <c r="E37" s="146" t="inlineStr">
        <is>
          <t>其他</t>
        </is>
      </c>
      <c r="F37" s="146" t="inlineStr">
        <is>
          <t>广州新蓝基因科技有限公司</t>
        </is>
      </c>
      <c r="G37" s="145" t="n">
        <v>80</v>
      </c>
      <c r="H37" s="159" t="n"/>
      <c r="I37" s="145">
        <f>H37-G37</f>
        <v/>
      </c>
      <c r="J37" s="165">
        <f>IF(G37=0,"",I37/G37)</f>
        <v/>
      </c>
      <c r="K37" s="156" t="n"/>
      <c r="L37" s="156" t="n"/>
      <c r="M37" s="156" t="n"/>
      <c r="N37" s="156" t="n"/>
    </row>
    <row r="38" ht="30" customHeight="1" s="76">
      <c r="A38" s="156" t="n"/>
      <c r="B38" s="156" t="n"/>
      <c r="C38" s="156" t="n"/>
      <c r="D38" s="164" t="n">
        <v>5</v>
      </c>
      <c r="E38" s="146" t="inlineStr">
        <is>
          <t>WGS</t>
        </is>
      </c>
      <c r="F38" s="146" t="inlineStr">
        <is>
          <t>深圳市艾斯基因科技有限公司</t>
        </is>
      </c>
      <c r="G38" s="145" t="n">
        <v>450</v>
      </c>
      <c r="H38" s="159" t="n"/>
      <c r="I38" s="145">
        <f>H38-G38</f>
        <v/>
      </c>
      <c r="J38" s="165">
        <f>IF(G38=0,"",I38/G38)</f>
        <v/>
      </c>
      <c r="K38" s="156" t="n"/>
      <c r="L38" s="156" t="n"/>
      <c r="M38" s="156" t="n"/>
      <c r="N38" s="156" t="n"/>
    </row>
    <row r="39" ht="30" customHeight="1" s="76">
      <c r="A39" s="156" t="n"/>
      <c r="B39" s="156" t="n"/>
      <c r="C39" s="156" t="n"/>
      <c r="D39" s="164" t="n">
        <v>5</v>
      </c>
      <c r="E39" s="146" t="inlineStr">
        <is>
          <t>WGS</t>
        </is>
      </c>
      <c r="F39" s="146" t="inlineStr">
        <is>
          <t>深圳市艾斯基因科技有限公司</t>
        </is>
      </c>
      <c r="G39" s="145" t="n">
        <v>450</v>
      </c>
      <c r="H39" s="159" t="n"/>
      <c r="I39" s="145">
        <f>H39-G39</f>
        <v/>
      </c>
      <c r="J39" s="165">
        <f>IF(G39=0,"",I39/G39)</f>
        <v/>
      </c>
      <c r="K39" s="156" t="n"/>
      <c r="L39" s="156" t="n"/>
      <c r="M39" s="156" t="n"/>
      <c r="N39" s="156" t="n"/>
    </row>
    <row r="40" ht="30" customHeight="1" s="76">
      <c r="A40" s="156" t="n"/>
      <c r="B40" s="156" t="n"/>
      <c r="C40" s="156" t="n"/>
      <c r="D40" s="164" t="n">
        <v>4</v>
      </c>
      <c r="E40" s="146" t="inlineStr">
        <is>
          <t>华大-C4-oligo</t>
        </is>
      </c>
      <c r="F40" s="146" t="inlineStr">
        <is>
          <t>广州奥智生物科技有限公司</t>
        </is>
      </c>
      <c r="G40" s="145" t="n">
        <v>8</v>
      </c>
      <c r="H40" s="159" t="n"/>
      <c r="I40" s="145">
        <f>H40-G40</f>
        <v/>
      </c>
      <c r="J40" s="165">
        <f>IF(G40=0,"",I40/G40)</f>
        <v/>
      </c>
      <c r="K40" s="156" t="n"/>
      <c r="L40" s="156" t="n"/>
      <c r="M40" s="156" t="n"/>
      <c r="N40" s="156" t="n"/>
    </row>
    <row r="41" ht="30" customHeight="1" s="76">
      <c r="A41" s="156" t="n"/>
      <c r="B41" s="156" t="n"/>
      <c r="C41" s="156" t="n"/>
      <c r="D41" s="164" t="n">
        <v>11</v>
      </c>
      <c r="E41" s="146" t="inlineStr">
        <is>
          <t>华大-C4-转录组</t>
        </is>
      </c>
      <c r="F41" s="146" t="inlineStr">
        <is>
          <t>广州奥智生物科技有限公司</t>
        </is>
      </c>
      <c r="G41" s="145" t="n">
        <v>986</v>
      </c>
      <c r="H41" s="159" t="n"/>
      <c r="I41" s="145">
        <f>H41-G41</f>
        <v/>
      </c>
      <c r="J41" s="165">
        <f>IF(G41=0,"",I41/G41)</f>
        <v/>
      </c>
      <c r="K41" s="156" t="n"/>
      <c r="L41" s="156" t="n"/>
      <c r="M41" s="156" t="n"/>
      <c r="N41" s="156" t="n"/>
    </row>
    <row r="42" ht="30" customHeight="1" s="76">
      <c r="A42" s="156" t="n"/>
      <c r="B42" s="156" t="n"/>
      <c r="C42" s="156" t="n"/>
      <c r="D42" s="164" t="n">
        <v>4</v>
      </c>
      <c r="E42" s="146" t="inlineStr">
        <is>
          <t>华大-C4-转录组</t>
        </is>
      </c>
      <c r="F42" s="146" t="inlineStr">
        <is>
          <t>广州奥智生物科技有限公司</t>
        </is>
      </c>
      <c r="G42" s="145" t="n">
        <v>352</v>
      </c>
      <c r="H42" s="159" t="n"/>
      <c r="I42" s="145">
        <f>H42-G42</f>
        <v/>
      </c>
      <c r="J42" s="165">
        <f>IF(G42=0,"",I42/G42)</f>
        <v/>
      </c>
      <c r="K42" s="156" t="n"/>
      <c r="L42" s="156" t="n"/>
      <c r="M42" s="156" t="n"/>
      <c r="N42" s="156" t="n"/>
    </row>
  </sheetData>
  <mergeCells count="12">
    <mergeCell ref="B20:B32"/>
    <mergeCell ref="C20:C32"/>
    <mergeCell ref="A20:A32"/>
    <mergeCell ref="C33:C42"/>
    <mergeCell ref="K20:K32"/>
    <mergeCell ref="K33:K42"/>
    <mergeCell ref="B2:B19"/>
    <mergeCell ref="A2:A19"/>
    <mergeCell ref="A33:A42"/>
    <mergeCell ref="C2:C19"/>
    <mergeCell ref="K2:K19"/>
    <mergeCell ref="B33:B42"/>
  </mergeCells>
  <conditionalFormatting sqref="I2:I42">
    <cfRule type="cellIs" priority="1" operator="lessThan" dxfId="103">
      <formula>0</formula>
    </cfRule>
  </conditionalFormatting>
  <conditionalFormatting sqref="J2:J42">
    <cfRule type="cellIs" priority="2" operator="lessThan" dxfId="103">
      <formula>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2017-11-11T18:31:00Z</dcterms:created>
  <dcterms:modified xsi:type="dcterms:W3CDTF">2026-08-07T07:04:48Z</dcterms:modified>
  <cp:lastModifiedBy>admin</cp:lastModifiedBy>
  <cp:lastPrinted>2022-03-27T15:17:00Z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2052-0.0.0.0</vt:lpwstr>
  </property>
  <property name="ICV" fmtid="{D5CDD505-2E9C-101B-9397-08002B2CF9AE}" pid="3">
    <vt:lpwstr>661EF343CB6A491B8F51128328A3C9D7_13</vt:lpwstr>
  </property>
  <property name="KSOReadingLayout" fmtid="{D5CDD505-2E9C-101B-9397-08002B2CF9AE}" pid="4">
    <vt:bool>1</vt:bool>
  </property>
  <property name="CalculationRule" fmtid="{D5CDD505-2E9C-101B-9397-08002B2CF9AE}" pid="5">
    <vt:i4>0</vt:i4>
  </property>
</Properties>
</file>