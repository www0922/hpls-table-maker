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080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_ "/>
    <numFmt numFmtId="165" formatCode="0.00_);[Red]\(0.00\)"/>
    <numFmt numFmtId="166" formatCode="0_ "/>
    <numFmt numFmtId="167" formatCode="_ [$￥-804]* #,##0.0_ ;_ [$￥-804]* \-#,##0.0_ ;_ [$￥-804]* &quot;-&quot;??_ ;_ @_ "/>
    <numFmt numFmtId="168" formatCode="[$-409]yyyy/m/d\ h:mm\ "/>
    <numFmt numFmtId="169" formatCode="_ [$￥-804]* #,##0.00_ ;_ [$￥-804]* \-#,##0.00_ ;_ [$￥-804]* &quot;-&quot;??_ ;_ @_ "/>
    <numFmt numFmtId="170" formatCode="0.00_)"/>
    <numFmt numFmtId="171" formatCode="_ [$¥-804]* #,##0.00_ ;_ [$¥-804]* \-#,##0.00_ ;_ [$¥-804]* &quot;-&quot;??_ ;_ @_ "/>
  </numFmts>
  <fonts count="71">
    <font>
      <name val="宋体"/>
      <charset val="134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rgb="FFFF0000"/>
      <sz val="11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sz val="12"/>
    </font>
    <font>
      <name val="Times New Roman"/>
      <family val="1"/>
      <color rgb="FF000000"/>
      <sz val="11"/>
    </font>
    <font>
      <name val="宋体"/>
      <charset val="134"/>
      <family val="3"/>
      <b val="1"/>
      <color theme="1"/>
      <sz val="12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2"/>
    </font>
    <font>
      <name val="宋体"/>
      <charset val="134"/>
      <family val="3"/>
      <b val="1"/>
      <color rgb="FFFF0000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42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7"/>
      <sz val="11"/>
    </font>
    <font>
      <name val="Arial"/>
      <family val="2"/>
      <sz val="8"/>
    </font>
    <font>
      <name val="宋体"/>
      <charset val="134"/>
      <family val="3"/>
      <b val="1"/>
      <color indexed="54"/>
      <sz val="15"/>
    </font>
    <font>
      <name val="宋体"/>
      <charset val="134"/>
      <family val="3"/>
      <color indexed="42"/>
      <sz val="11"/>
    </font>
    <font>
      <name val="宋体"/>
      <charset val="134"/>
      <family val="3"/>
      <b val="1"/>
      <color indexed="54"/>
      <sz val="11"/>
    </font>
    <font>
      <name val="宋体"/>
      <charset val="134"/>
      <family val="3"/>
      <color indexed="52"/>
      <sz val="11"/>
    </font>
    <font>
      <name val="宋体"/>
      <charset val="134"/>
      <family val="3"/>
      <b val="1"/>
      <color indexed="63"/>
      <sz val="11"/>
    </font>
    <font>
      <name val="Arial"/>
      <family val="2"/>
      <color indexed="12"/>
      <sz val="7.5"/>
      <u val="single"/>
    </font>
    <font>
      <name val="宋体"/>
      <charset val="134"/>
      <family val="3"/>
      <b val="1"/>
      <color indexed="62"/>
      <sz val="11"/>
    </font>
    <font>
      <name val="宋体"/>
      <charset val="134"/>
      <family val="3"/>
      <color indexed="9"/>
      <sz val="11"/>
    </font>
    <font>
      <name val="Arial"/>
      <family val="2"/>
      <sz val="10"/>
    </font>
    <font>
      <name val="Tahoma"/>
      <family val="2"/>
      <color indexed="9"/>
      <sz val="11"/>
    </font>
    <font>
      <name val="宋体"/>
      <charset val="134"/>
      <family val="3"/>
      <b val="1"/>
      <color indexed="54"/>
      <sz val="13"/>
    </font>
    <font>
      <name val="宋体"/>
      <charset val="134"/>
      <family val="3"/>
      <color indexed="60"/>
      <sz val="11"/>
    </font>
    <font>
      <name val="宋体"/>
      <charset val="134"/>
      <family val="3"/>
      <color indexed="12"/>
      <sz val="12"/>
      <u val="single"/>
    </font>
    <font>
      <name val="宋体"/>
      <charset val="134"/>
      <family val="3"/>
      <color indexed="8"/>
      <sz val="12"/>
    </font>
    <font>
      <name val="Tahoma"/>
      <family val="2"/>
      <i val="1"/>
      <color indexed="23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54"/>
      <sz val="18"/>
    </font>
    <font>
      <name val="宋体"/>
      <charset val="134"/>
      <family val="3"/>
      <color indexed="20"/>
      <sz val="11"/>
    </font>
    <font>
      <name val="Tahoma"/>
      <family val="2"/>
      <color indexed="8"/>
      <sz val="11"/>
    </font>
    <font>
      <name val="Tahoma"/>
      <family val="2"/>
      <color indexed="52"/>
      <sz val="11"/>
    </font>
    <font>
      <name val="Tahoma"/>
      <family val="2"/>
      <color indexed="62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i val="1"/>
      <color rgb="FF7F7F7F"/>
      <sz val="11"/>
      <scheme val="minor"/>
    </font>
    <font>
      <name val="宋体"/>
      <charset val="134"/>
      <family val="3"/>
      <b val="1"/>
      <color indexed="9"/>
      <sz val="11"/>
    </font>
    <font>
      <name val="Helv"/>
      <family val="2"/>
      <b val="1"/>
      <i val="1"/>
      <sz val="16"/>
    </font>
    <font>
      <name val="Tahoma"/>
      <family val="2"/>
      <color indexed="17"/>
      <sz val="11"/>
    </font>
    <font>
      <name val="宋体"/>
      <charset val="134"/>
      <family val="3"/>
      <color rgb="FF0000FF"/>
      <sz val="11"/>
      <u val="single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b val="1"/>
      <color indexed="56"/>
      <sz val="18"/>
    </font>
    <font>
      <name val="Tahoma"/>
      <family val="2"/>
      <b val="1"/>
      <color indexed="56"/>
      <sz val="11"/>
    </font>
    <font>
      <name val="宋体"/>
      <charset val="134"/>
      <family val="3"/>
      <b val="1"/>
      <color indexed="62"/>
      <sz val="18"/>
    </font>
    <font>
      <name val="宋体"/>
      <charset val="134"/>
      <family val="3"/>
      <color rgb="FF000000"/>
      <sz val="11"/>
    </font>
    <font>
      <name val="Tahoma"/>
      <family val="2"/>
      <b val="1"/>
      <color indexed="63"/>
      <sz val="11"/>
    </font>
    <font>
      <name val="Tahoma"/>
      <family val="2"/>
      <b val="1"/>
      <color indexed="8"/>
      <sz val="11"/>
    </font>
    <font>
      <name val="Arial"/>
      <family val="2"/>
      <color theme="10"/>
      <sz val="10"/>
      <u val="single"/>
    </font>
    <font>
      <name val="宋体"/>
      <charset val="134"/>
      <family val="3"/>
      <b val="1"/>
      <color indexed="62"/>
      <sz val="15"/>
    </font>
    <font>
      <name val="宋体"/>
      <charset val="134"/>
      <family val="3"/>
      <b val="1"/>
      <color indexed="62"/>
      <sz val="13"/>
    </font>
    <font>
      <name val="Tahoma"/>
      <family val="2"/>
      <color indexed="10"/>
      <sz val="11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theme="10"/>
      <sz val="11"/>
      <u val="single"/>
      <scheme val="minor"/>
    </font>
    <font>
      <name val="Tahoma"/>
      <family val="2"/>
      <b val="1"/>
      <color indexed="56"/>
      <sz val="13"/>
    </font>
    <font>
      <name val="Tahoma"/>
      <family val="2"/>
      <b val="1"/>
      <color indexed="52"/>
      <sz val="11"/>
    </font>
    <font>
      <name val="Tahoma"/>
      <family val="2"/>
      <b val="1"/>
      <color indexed="56"/>
      <sz val="15"/>
    </font>
    <font>
      <name val="Tahoma"/>
      <family val="2"/>
      <color indexed="20"/>
      <sz val="11"/>
    </font>
    <font>
      <name val="Tahoma"/>
      <family val="2"/>
      <color indexed="60"/>
      <sz val="11"/>
    </font>
    <font>
      <name val="Tahoma"/>
      <family val="2"/>
      <b val="1"/>
      <color indexed="9"/>
      <sz val="11"/>
    </font>
    <font>
      <name val="Arial"/>
      <family val="2"/>
      <sz val="10"/>
    </font>
    <font>
      <name val="宋体"/>
      <charset val="134"/>
      <family val="3"/>
      <color theme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</font>
    <font>
      <b val="1"/>
      <color rgb="00FF0000"/>
    </font>
    <font>
      <name val="Times New Roman"/>
      <sz val="10"/>
    </font>
  </fonts>
  <fills count="27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thick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09">
    <xf numFmtId="0" fontId="0" fillId="0" borderId="0" applyAlignment="1">
      <alignment vertical="center"/>
    </xf>
    <xf numFmtId="167" fontId="12" fillId="3" borderId="0" applyAlignment="1">
      <alignment vertical="center"/>
    </xf>
    <xf numFmtId="167" fontId="12" fillId="4" borderId="0" applyAlignment="1">
      <alignment vertical="center"/>
    </xf>
    <xf numFmtId="167" fontId="12" fillId="5" borderId="0" applyAlignment="1">
      <alignment vertical="center"/>
    </xf>
    <xf numFmtId="167" fontId="12" fillId="6" borderId="0" applyAlignment="1">
      <alignment vertical="center"/>
    </xf>
    <xf numFmtId="167" fontId="12" fillId="7" borderId="0" applyAlignment="1">
      <alignment vertical="center"/>
    </xf>
    <xf numFmtId="167" fontId="12" fillId="0" borderId="0" applyAlignment="1">
      <alignment vertical="center"/>
    </xf>
    <xf numFmtId="167" fontId="12" fillId="8" borderId="0" applyAlignment="1">
      <alignment vertical="center"/>
    </xf>
    <xf numFmtId="167" fontId="12" fillId="9" borderId="0" applyAlignment="1">
      <alignment vertical="center"/>
    </xf>
    <xf numFmtId="167" fontId="13" fillId="0" borderId="0" applyAlignment="1">
      <alignment vertical="center"/>
    </xf>
    <xf numFmtId="168" fontId="12" fillId="0" borderId="0"/>
    <xf numFmtId="167" fontId="14" fillId="10" borderId="4" applyAlignment="1">
      <alignment vertical="center"/>
    </xf>
    <xf numFmtId="168" fontId="15" fillId="0" borderId="0"/>
    <xf numFmtId="168" fontId="16" fillId="7" borderId="0" applyAlignment="1">
      <alignment vertical="center"/>
    </xf>
    <xf numFmtId="0" fontId="12" fillId="0" borderId="0"/>
    <xf numFmtId="168" fontId="12" fillId="0" borderId="0" applyAlignment="1">
      <alignment vertical="center"/>
    </xf>
    <xf numFmtId="168" fontId="17" fillId="11" borderId="1"/>
    <xf numFmtId="168" fontId="13" fillId="0" borderId="0" applyAlignment="1">
      <alignment vertical="center"/>
    </xf>
    <xf numFmtId="0" fontId="13" fillId="0" borderId="0" applyAlignment="1">
      <alignment vertical="center"/>
    </xf>
    <xf numFmtId="0" fontId="16" fillId="7" borderId="0" applyAlignment="1">
      <alignment vertical="center"/>
    </xf>
    <xf numFmtId="168" fontId="18" fillId="0" borderId="5" applyAlignment="1">
      <alignment vertical="center"/>
    </xf>
    <xf numFmtId="167" fontId="13" fillId="12" borderId="6" applyAlignment="1">
      <alignment vertical="center"/>
    </xf>
    <xf numFmtId="0" fontId="15" fillId="0" borderId="0"/>
    <xf numFmtId="167" fontId="19" fillId="13" borderId="0" applyAlignment="1">
      <alignment vertical="center"/>
    </xf>
    <xf numFmtId="168" fontId="12" fillId="5" borderId="0" applyAlignment="1">
      <alignment vertical="center"/>
    </xf>
    <xf numFmtId="0" fontId="12" fillId="0" borderId="0" applyAlignment="1">
      <alignment vertical="center"/>
    </xf>
    <xf numFmtId="0" fontId="20" fillId="0" borderId="0" applyAlignment="1">
      <alignment vertical="center"/>
    </xf>
    <xf numFmtId="0" fontId="12" fillId="14" borderId="0" applyAlignment="1">
      <alignment vertical="center"/>
    </xf>
    <xf numFmtId="168" fontId="12" fillId="14" borderId="0" applyAlignment="1">
      <alignment vertical="center"/>
    </xf>
    <xf numFmtId="167" fontId="16" fillId="7" borderId="0" applyAlignment="1">
      <alignment vertical="center"/>
    </xf>
    <xf numFmtId="168" fontId="11" fillId="0" borderId="0"/>
    <xf numFmtId="0" fontId="21" fillId="0" borderId="7" applyAlignment="1">
      <alignment vertical="center"/>
    </xf>
    <xf numFmtId="169" fontId="17" fillId="15" borderId="0"/>
    <xf numFmtId="9" fontId="12" fillId="0" borderId="0" applyAlignment="1">
      <alignment vertical="center"/>
    </xf>
    <xf numFmtId="0" fontId="12" fillId="5" borderId="0" applyAlignment="1">
      <alignment vertical="center"/>
    </xf>
    <xf numFmtId="168" fontId="22" fillId="15" borderId="8" applyAlignment="1">
      <alignment vertical="center"/>
    </xf>
    <xf numFmtId="168" fontId="23" fillId="0" borderId="0" applyAlignment="1" applyProtection="1">
      <alignment vertical="top"/>
      <protection locked="0" hidden="0"/>
    </xf>
    <xf numFmtId="167" fontId="24" fillId="0" borderId="9" applyAlignment="1">
      <alignment vertical="center"/>
    </xf>
    <xf numFmtId="168" fontId="25" fillId="16" borderId="0" applyAlignment="1">
      <alignment vertical="center"/>
    </xf>
    <xf numFmtId="167" fontId="11" fillId="0" borderId="0" applyAlignment="1">
      <alignment vertical="center"/>
    </xf>
    <xf numFmtId="167" fontId="19" fillId="7" borderId="0" applyAlignment="1">
      <alignment vertical="center"/>
    </xf>
    <xf numFmtId="167" fontId="65" fillId="0" borderId="0" applyAlignment="1">
      <alignment vertical="center"/>
    </xf>
    <xf numFmtId="168" fontId="25" fillId="17" borderId="0" applyAlignment="1">
      <alignment vertical="center"/>
    </xf>
    <xf numFmtId="167" fontId="27" fillId="18" borderId="0" applyAlignment="1">
      <alignment vertical="center"/>
    </xf>
    <xf numFmtId="168" fontId="28" fillId="0" borderId="10" applyAlignment="1">
      <alignment vertical="center"/>
    </xf>
    <xf numFmtId="167" fontId="19" fillId="18" borderId="0" applyAlignment="1">
      <alignment vertical="center"/>
    </xf>
    <xf numFmtId="167" fontId="29" fillId="6" borderId="0" applyAlignment="1">
      <alignment vertical="center"/>
    </xf>
    <xf numFmtId="168" fontId="12" fillId="11" borderId="0" applyAlignment="1">
      <alignment vertical="center"/>
    </xf>
    <xf numFmtId="168" fontId="12" fillId="12" borderId="0" applyAlignment="1">
      <alignment vertical="center"/>
    </xf>
    <xf numFmtId="168" fontId="29" fillId="14" borderId="0"/>
    <xf numFmtId="167" fontId="27" fillId="16" borderId="0" applyAlignment="1">
      <alignment vertical="center"/>
    </xf>
    <xf numFmtId="167" fontId="24" fillId="0" borderId="0" applyAlignment="1">
      <alignment vertical="center"/>
    </xf>
    <xf numFmtId="0" fontId="12" fillId="3" borderId="0" applyAlignment="1">
      <alignment vertical="center"/>
    </xf>
    <xf numFmtId="167" fontId="30" fillId="0" borderId="0" applyAlignment="1" applyProtection="1">
      <alignment vertical="top"/>
      <protection locked="0" hidden="0"/>
    </xf>
    <xf numFmtId="168" fontId="12" fillId="12" borderId="6" applyAlignment="1">
      <alignment vertical="center"/>
    </xf>
    <xf numFmtId="167" fontId="31" fillId="0" borderId="0" applyAlignment="1">
      <alignment vertical="center"/>
    </xf>
    <xf numFmtId="168" fontId="12" fillId="8" borderId="0" applyAlignment="1">
      <alignment vertical="center"/>
    </xf>
    <xf numFmtId="169" fontId="65" fillId="0" borderId="0"/>
    <xf numFmtId="0" fontId="17" fillId="11" borderId="1"/>
    <xf numFmtId="0" fontId="12" fillId="7" borderId="0" applyAlignment="1">
      <alignment vertical="center"/>
    </xf>
    <xf numFmtId="0" fontId="12" fillId="11" borderId="0" applyAlignment="1">
      <alignment vertical="center"/>
    </xf>
    <xf numFmtId="167" fontId="32" fillId="0" borderId="0" applyAlignment="1">
      <alignment vertical="center"/>
    </xf>
    <xf numFmtId="167" fontId="27" fillId="13" borderId="0" applyAlignment="1">
      <alignment vertical="center"/>
    </xf>
    <xf numFmtId="168" fontId="33" fillId="15" borderId="11" applyAlignment="1">
      <alignment vertical="center"/>
    </xf>
    <xf numFmtId="168" fontId="34" fillId="0" borderId="0" applyAlignment="1">
      <alignment vertical="center"/>
    </xf>
    <xf numFmtId="0" fontId="12" fillId="8" borderId="0" applyAlignment="1">
      <alignment vertical="center"/>
    </xf>
    <xf numFmtId="0" fontId="25" fillId="10" borderId="0" applyAlignment="1">
      <alignment vertical="center"/>
    </xf>
    <xf numFmtId="168" fontId="35" fillId="19" borderId="0" applyAlignment="1">
      <alignment vertical="center"/>
    </xf>
    <xf numFmtId="168" fontId="12" fillId="7" borderId="0" applyAlignment="1">
      <alignment vertical="center"/>
    </xf>
    <xf numFmtId="168" fontId="11" fillId="0" borderId="0" applyAlignment="1">
      <alignment vertical="center"/>
    </xf>
    <xf numFmtId="0" fontId="12" fillId="12" borderId="0" applyAlignment="1">
      <alignment vertical="center"/>
    </xf>
    <xf numFmtId="168" fontId="25" fillId="5" borderId="0" applyAlignment="1">
      <alignment vertical="center"/>
    </xf>
    <xf numFmtId="167" fontId="19" fillId="5" borderId="0" applyAlignment="1">
      <alignment vertical="center"/>
    </xf>
    <xf numFmtId="167" fontId="36" fillId="7" borderId="0" applyAlignment="1">
      <alignment vertical="center"/>
    </xf>
    <xf numFmtId="168" fontId="12" fillId="9" borderId="0" applyAlignment="1">
      <alignment vertical="center"/>
    </xf>
    <xf numFmtId="0" fontId="25" fillId="18" borderId="0" applyAlignment="1">
      <alignment vertical="center"/>
    </xf>
    <xf numFmtId="167" fontId="36" fillId="6" borderId="0" applyAlignment="1">
      <alignment vertical="center"/>
    </xf>
    <xf numFmtId="167" fontId="21" fillId="0" borderId="7" applyAlignment="1">
      <alignment vertical="center"/>
    </xf>
    <xf numFmtId="167" fontId="19" fillId="9" borderId="0" applyAlignment="1">
      <alignment vertical="center"/>
    </xf>
    <xf numFmtId="167" fontId="37" fillId="0" borderId="7" applyAlignment="1">
      <alignment vertical="center"/>
    </xf>
    <xf numFmtId="0" fontId="12" fillId="9" borderId="0" applyAlignment="1">
      <alignment vertical="center"/>
    </xf>
    <xf numFmtId="167" fontId="65" fillId="0" borderId="0"/>
    <xf numFmtId="168" fontId="20" fillId="0" borderId="0" applyAlignment="1">
      <alignment vertical="center"/>
    </xf>
    <xf numFmtId="168" fontId="25" fillId="14" borderId="0" applyAlignment="1">
      <alignment vertical="center"/>
    </xf>
    <xf numFmtId="168" fontId="25" fillId="18" borderId="0" applyAlignment="1">
      <alignment vertical="center"/>
    </xf>
    <xf numFmtId="0" fontId="20" fillId="0" borderId="9" applyAlignment="1">
      <alignment vertical="center"/>
    </xf>
    <xf numFmtId="0" fontId="29" fillId="14" borderId="0"/>
    <xf numFmtId="167" fontId="19" fillId="4" borderId="0" applyAlignment="1">
      <alignment vertical="center"/>
    </xf>
    <xf numFmtId="167" fontId="38" fillId="5" borderId="11" applyAlignment="1">
      <alignment vertical="center"/>
    </xf>
    <xf numFmtId="0" fontId="23" fillId="0" borderId="0" applyAlignment="1" applyProtection="1">
      <alignment vertical="top"/>
      <protection locked="0" hidden="0"/>
    </xf>
    <xf numFmtId="168" fontId="39" fillId="5" borderId="11" applyAlignment="1">
      <alignment vertical="center"/>
    </xf>
    <xf numFmtId="167" fontId="40" fillId="0" borderId="0"/>
    <xf numFmtId="167" fontId="36" fillId="3" borderId="0" applyAlignment="1">
      <alignment vertical="center"/>
    </xf>
    <xf numFmtId="0" fontId="12" fillId="15" borderId="0" applyAlignment="1">
      <alignment vertical="center"/>
    </xf>
    <xf numFmtId="0" fontId="28" fillId="0" borderId="10" applyAlignment="1">
      <alignment vertical="center"/>
    </xf>
    <xf numFmtId="0" fontId="25" fillId="5" borderId="0" applyAlignment="1">
      <alignment vertical="center"/>
    </xf>
    <xf numFmtId="168" fontId="25" fillId="15" borderId="0" applyAlignment="1">
      <alignment vertical="center"/>
    </xf>
    <xf numFmtId="168" fontId="12" fillId="3" borderId="0" applyAlignment="1">
      <alignment vertical="center"/>
    </xf>
    <xf numFmtId="0" fontId="25" fillId="14" borderId="0" applyAlignment="1">
      <alignment vertical="center"/>
    </xf>
    <xf numFmtId="168" fontId="41" fillId="10" borderId="4" applyAlignment="1">
      <alignment vertical="center"/>
    </xf>
    <xf numFmtId="170" fontId="42" fillId="0" borderId="0"/>
    <xf numFmtId="171" fontId="11" fillId="0" borderId="0" applyAlignment="1">
      <alignment vertical="center"/>
    </xf>
    <xf numFmtId="0" fontId="41" fillId="10" borderId="4" applyAlignment="1">
      <alignment vertical="center"/>
    </xf>
    <xf numFmtId="0" fontId="11" fillId="0" borderId="0"/>
    <xf numFmtId="0" fontId="34" fillId="0" borderId="0" applyAlignment="1">
      <alignment vertical="center"/>
    </xf>
    <xf numFmtId="167" fontId="43" fillId="7" borderId="0" applyAlignment="1">
      <alignment vertical="center"/>
    </xf>
    <xf numFmtId="167" fontId="36" fillId="20" borderId="0" applyAlignment="1">
      <alignment vertical="center"/>
    </xf>
    <xf numFmtId="168" fontId="25" fillId="10" borderId="0" applyAlignment="1">
      <alignment vertical="center"/>
    </xf>
    <xf numFmtId="168" fontId="25" fillId="9" borderId="0" applyAlignment="1">
      <alignment vertical="center"/>
    </xf>
    <xf numFmtId="169" fontId="44" fillId="0" borderId="0" applyAlignment="1">
      <alignment vertical="center"/>
    </xf>
    <xf numFmtId="167" fontId="17" fillId="11" borderId="1"/>
    <xf numFmtId="167" fontId="36" fillId="19" borderId="0" applyAlignment="1">
      <alignment vertical="center"/>
    </xf>
    <xf numFmtId="167" fontId="19" fillId="21" borderId="0" applyAlignment="1">
      <alignment vertical="center"/>
    </xf>
    <xf numFmtId="0" fontId="33" fillId="15" borderId="11" applyAlignment="1">
      <alignment vertical="center"/>
    </xf>
    <xf numFmtId="0" fontId="40" fillId="0" borderId="0" applyAlignment="1">
      <alignment vertical="center"/>
    </xf>
    <xf numFmtId="169" fontId="11" fillId="0" borderId="0" applyAlignment="1">
      <alignment vertical="center"/>
    </xf>
    <xf numFmtId="167" fontId="17" fillId="15" borderId="0"/>
    <xf numFmtId="167" fontId="19" fillId="6" borderId="0" applyAlignment="1">
      <alignment vertical="center"/>
    </xf>
    <xf numFmtId="167" fontId="33" fillId="11" borderId="11" applyAlignment="1">
      <alignment vertical="center"/>
    </xf>
    <xf numFmtId="167" fontId="36" fillId="9" borderId="0" applyAlignment="1">
      <alignment vertical="center"/>
    </xf>
    <xf numFmtId="0" fontId="18" fillId="0" borderId="5" applyAlignment="1">
      <alignment vertical="center"/>
    </xf>
    <xf numFmtId="167" fontId="29" fillId="14" borderId="0" applyAlignment="1">
      <alignment vertical="center"/>
    </xf>
    <xf numFmtId="167" fontId="22" fillId="11" borderId="8" applyAlignment="1">
      <alignment vertical="center"/>
    </xf>
    <xf numFmtId="167" fontId="45" fillId="0" borderId="12" applyAlignment="1">
      <alignment vertical="center"/>
    </xf>
    <xf numFmtId="0" fontId="46" fillId="0" borderId="0" applyAlignment="1">
      <alignment vertical="center"/>
    </xf>
    <xf numFmtId="167" fontId="11" fillId="0" borderId="0"/>
    <xf numFmtId="0" fontId="25" fillId="22" borderId="0" applyAlignment="1">
      <alignment vertical="center"/>
    </xf>
    <xf numFmtId="0" fontId="39" fillId="5" borderId="11" applyAlignment="1">
      <alignment vertical="center"/>
    </xf>
    <xf numFmtId="0" fontId="25" fillId="21" borderId="0" applyAlignment="1">
      <alignment vertical="center"/>
    </xf>
    <xf numFmtId="0" fontId="45" fillId="0" borderId="12" applyAlignment="1">
      <alignment vertical="center"/>
    </xf>
    <xf numFmtId="0" fontId="25" fillId="9" borderId="0" applyAlignment="1">
      <alignment vertical="center"/>
    </xf>
    <xf numFmtId="10" fontId="65" fillId="0" borderId="0"/>
    <xf numFmtId="167" fontId="47" fillId="0" borderId="0" applyAlignment="1">
      <alignment vertical="center"/>
    </xf>
    <xf numFmtId="0" fontId="65" fillId="0" borderId="0"/>
    <xf numFmtId="0" fontId="12" fillId="12" borderId="6" applyAlignment="1">
      <alignment vertical="center"/>
    </xf>
    <xf numFmtId="167" fontId="48" fillId="0" borderId="13" applyAlignment="1">
      <alignment vertical="center"/>
    </xf>
    <xf numFmtId="167" fontId="49" fillId="0" borderId="0" applyAlignment="1">
      <alignment vertical="center"/>
    </xf>
    <xf numFmtId="167" fontId="48" fillId="0" borderId="0" applyAlignment="1">
      <alignment vertical="center"/>
    </xf>
    <xf numFmtId="168" fontId="20" fillId="0" borderId="9" applyAlignment="1">
      <alignment vertical="center"/>
    </xf>
    <xf numFmtId="168" fontId="15" fillId="0" borderId="0" applyAlignment="1">
      <alignment vertical="center"/>
    </xf>
    <xf numFmtId="0" fontId="50" fillId="0" borderId="0" applyAlignment="1">
      <alignment vertical="center"/>
    </xf>
    <xf numFmtId="167" fontId="27" fillId="22" borderId="0" applyAlignment="1">
      <alignment vertical="center"/>
    </xf>
    <xf numFmtId="167" fontId="36" fillId="0" borderId="0" applyAlignment="1">
      <alignment vertical="center"/>
    </xf>
    <xf numFmtId="167" fontId="46" fillId="0" borderId="0" applyAlignment="1">
      <alignment vertical="center"/>
    </xf>
    <xf numFmtId="168" fontId="25" fillId="21" borderId="0" applyAlignment="1">
      <alignment vertical="center"/>
    </xf>
    <xf numFmtId="168" fontId="65" fillId="0" borderId="0"/>
    <xf numFmtId="167" fontId="27" fillId="23" borderId="0" applyAlignment="1">
      <alignment vertical="center"/>
    </xf>
    <xf numFmtId="0" fontId="40" fillId="0" borderId="0"/>
    <xf numFmtId="167" fontId="27" fillId="24" borderId="0" applyAlignment="1">
      <alignment vertical="center"/>
    </xf>
    <xf numFmtId="167" fontId="51" fillId="15" borderId="8" applyAlignment="1">
      <alignment vertical="center"/>
    </xf>
    <xf numFmtId="167" fontId="52" fillId="0" borderId="14" applyAlignment="1">
      <alignment vertical="center"/>
    </xf>
    <xf numFmtId="0" fontId="53" fillId="0" borderId="0"/>
    <xf numFmtId="167" fontId="54" fillId="0" borderId="5" applyAlignment="1">
      <alignment vertical="center"/>
    </xf>
    <xf numFmtId="167" fontId="55" fillId="0" borderId="10" applyAlignment="1">
      <alignment vertical="center"/>
    </xf>
    <xf numFmtId="167" fontId="39" fillId="5" borderId="11" applyAlignment="1">
      <alignment vertical="center"/>
    </xf>
    <xf numFmtId="167" fontId="36" fillId="8" borderId="0" applyAlignment="1">
      <alignment vertical="center"/>
    </xf>
    <xf numFmtId="169" fontId="13" fillId="0" borderId="0" applyAlignment="1">
      <alignment vertical="center"/>
    </xf>
    <xf numFmtId="168" fontId="12" fillId="15" borderId="0" applyAlignment="1">
      <alignment vertical="center"/>
    </xf>
    <xf numFmtId="167" fontId="56" fillId="0" borderId="0" applyAlignment="1">
      <alignment vertical="center"/>
    </xf>
    <xf numFmtId="0" fontId="57" fillId="2" borderId="0"/>
    <xf numFmtId="167" fontId="27" fillId="6" borderId="0" applyAlignment="1">
      <alignment vertical="center"/>
    </xf>
    <xf numFmtId="167" fontId="27" fillId="20" borderId="0" applyAlignment="1">
      <alignment vertical="center"/>
    </xf>
    <xf numFmtId="167" fontId="27" fillId="25" borderId="0" applyAlignment="1">
      <alignment vertical="center"/>
    </xf>
    <xf numFmtId="169" fontId="17" fillId="11" borderId="1"/>
    <xf numFmtId="167" fontId="36" fillId="4" borderId="0" applyAlignment="1">
      <alignment vertical="center"/>
    </xf>
    <xf numFmtId="168" fontId="29" fillId="14" borderId="0" applyAlignment="1">
      <alignment vertical="center"/>
    </xf>
    <xf numFmtId="167" fontId="23" fillId="0" borderId="0" applyAlignment="1" applyProtection="1">
      <alignment vertical="top"/>
      <protection locked="0" hidden="0"/>
    </xf>
    <xf numFmtId="0" fontId="29" fillId="14" borderId="0" applyAlignment="1">
      <alignment vertical="center"/>
    </xf>
    <xf numFmtId="169" fontId="40" fillId="0" borderId="0"/>
    <xf numFmtId="168" fontId="25" fillId="22" borderId="0" applyAlignment="1">
      <alignment vertical="center"/>
    </xf>
    <xf numFmtId="0" fontId="25" fillId="17" borderId="0" applyAlignment="1">
      <alignment vertical="center"/>
    </xf>
    <xf numFmtId="167" fontId="19" fillId="26" borderId="0" applyAlignment="1">
      <alignment vertical="center"/>
    </xf>
    <xf numFmtId="0" fontId="17" fillId="15" borderId="0"/>
    <xf numFmtId="9" fontId="13" fillId="0" borderId="0" applyAlignment="1">
      <alignment vertical="center"/>
    </xf>
    <xf numFmtId="0" fontId="44" fillId="0" borderId="0" applyAlignment="1">
      <alignment vertical="center"/>
    </xf>
    <xf numFmtId="168" fontId="21" fillId="0" borderId="7" applyAlignment="1">
      <alignment vertical="center"/>
    </xf>
    <xf numFmtId="0" fontId="25" fillId="15" borderId="0" applyAlignment="1">
      <alignment vertical="center"/>
    </xf>
    <xf numFmtId="167" fontId="58" fillId="0" borderId="0" applyAlignment="1">
      <alignment vertical="center"/>
    </xf>
    <xf numFmtId="0" fontId="35" fillId="19" borderId="0" applyAlignment="1">
      <alignment vertical="center"/>
    </xf>
    <xf numFmtId="167" fontId="13" fillId="0" borderId="0" applyAlignment="1">
      <alignment vertical="top"/>
    </xf>
    <xf numFmtId="167" fontId="15" fillId="0" borderId="0" applyAlignment="1">
      <alignment vertical="center"/>
    </xf>
    <xf numFmtId="167" fontId="59" fillId="0" borderId="15" applyAlignment="1">
      <alignment vertical="center"/>
    </xf>
    <xf numFmtId="0" fontId="11" fillId="0" borderId="0" applyAlignment="1">
      <alignment vertical="center"/>
    </xf>
    <xf numFmtId="0" fontId="25" fillId="16" borderId="0" applyAlignment="1">
      <alignment vertical="center"/>
    </xf>
    <xf numFmtId="167" fontId="19" fillId="22" borderId="0" applyAlignment="1">
      <alignment vertical="center"/>
    </xf>
    <xf numFmtId="167" fontId="36" fillId="5" borderId="0" applyAlignment="1">
      <alignment vertical="center"/>
    </xf>
    <xf numFmtId="167" fontId="36" fillId="17" borderId="0" applyAlignment="1">
      <alignment vertical="center"/>
    </xf>
    <xf numFmtId="168" fontId="45" fillId="0" borderId="12" applyAlignment="1">
      <alignment vertical="center"/>
    </xf>
    <xf numFmtId="167" fontId="57" fillId="2" borderId="0"/>
    <xf numFmtId="168" fontId="17" fillId="15" borderId="0"/>
    <xf numFmtId="167" fontId="27" fillId="21" borderId="0" applyAlignment="1">
      <alignment vertical="center"/>
    </xf>
    <xf numFmtId="0" fontId="22" fillId="15" borderId="8" applyAlignment="1">
      <alignment vertical="center"/>
    </xf>
    <xf numFmtId="168" fontId="46" fillId="0" borderId="0" applyAlignment="1">
      <alignment vertical="center"/>
    </xf>
    <xf numFmtId="167" fontId="60" fillId="15" borderId="11" applyAlignment="1">
      <alignment vertical="center"/>
    </xf>
    <xf numFmtId="169" fontId="23" fillId="0" borderId="0" applyAlignment="1" applyProtection="1">
      <alignment vertical="top"/>
      <protection locked="0" hidden="0"/>
    </xf>
    <xf numFmtId="167" fontId="61" fillId="0" borderId="16" applyAlignment="1">
      <alignment vertical="center"/>
    </xf>
    <xf numFmtId="167" fontId="62" fillId="19" borderId="0" applyAlignment="1">
      <alignment vertical="center"/>
    </xf>
    <xf numFmtId="167" fontId="63" fillId="14" borderId="0" applyAlignment="1">
      <alignment vertical="center"/>
    </xf>
    <xf numFmtId="167" fontId="40" fillId="0" borderId="0" applyAlignment="1">
      <alignment vertical="center"/>
    </xf>
    <xf numFmtId="0" fontId="13" fillId="0" borderId="0" applyAlignment="1">
      <alignment vertical="top"/>
    </xf>
    <xf numFmtId="0" fontId="11" fillId="0" borderId="0" applyAlignment="1">
      <alignment vertical="center"/>
    </xf>
    <xf numFmtId="0" fontId="15" fillId="0" borderId="0" applyAlignment="1">
      <alignment vertical="center"/>
    </xf>
    <xf numFmtId="169" fontId="40" fillId="0" borderId="0" applyAlignment="1">
      <alignment vertical="center"/>
    </xf>
    <xf numFmtId="167" fontId="44" fillId="0" borderId="0" applyAlignment="1">
      <alignment vertical="center"/>
    </xf>
    <xf numFmtId="0" fontId="58" fillId="0" borderId="0" applyAlignment="1">
      <alignment vertical="center"/>
    </xf>
    <xf numFmtId="167" fontId="64" fillId="10" borderId="4" applyAlignment="1">
      <alignment vertical="center"/>
    </xf>
    <xf numFmtId="169" fontId="57" fillId="2" borderId="0"/>
    <xf numFmtId="167" fontId="13" fillId="0" borderId="1" applyAlignment="1">
      <alignment vertical="center"/>
    </xf>
    <xf numFmtId="0" fontId="65" fillId="0" borderId="0"/>
  </cellStyleXfs>
  <cellXfs count="8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applyProtection="1" pivotButton="0" quotePrefix="0" xfId="200">
      <alignment horizontal="center" vertical="center"/>
      <protection locked="0" hidden="0"/>
    </xf>
    <xf numFmtId="0" fontId="6" fillId="0" borderId="1" applyAlignment="1" applyProtection="1" pivotButton="0" quotePrefix="0" xfId="200">
      <alignment horizontal="center" vertical="center" wrapText="1"/>
      <protection locked="0" hidden="0"/>
    </xf>
    <xf numFmtId="164" fontId="6" fillId="0" borderId="1" applyAlignment="1" applyProtection="1" pivotButton="0" quotePrefix="0" xfId="20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58" fontId="6" fillId="0" borderId="1" applyAlignment="1" pivotButton="0" quotePrefix="0" xfId="20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0" fontId="6" fillId="0" borderId="1" applyAlignment="1" applyProtection="1" pivotButton="0" quotePrefix="0" xfId="200">
      <alignment horizontal="center" vertical="center"/>
      <protection locked="0" hidden="0"/>
    </xf>
    <xf numFmtId="166" fontId="6" fillId="0" borderId="1" applyAlignment="1" applyProtection="1" pivotButton="0" quotePrefix="0" xfId="200">
      <alignment horizontal="center" vertical="center"/>
      <protection locked="0" hidden="0"/>
    </xf>
    <xf numFmtId="4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165" fontId="2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3" applyProtection="1" pivotButton="0" quotePrefix="0" xfId="0">
      <protection locked="0" hidden="0"/>
    </xf>
    <xf numFmtId="164" fontId="6" fillId="0" borderId="1" applyAlignment="1" applyProtection="1" pivotButton="0" quotePrefix="0" xfId="20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7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70" fillId="0" borderId="1" applyAlignment="1" pivotButton="0" quotePrefix="0" xfId="0">
      <alignment horizontal="center" vertical="center"/>
    </xf>
    <xf numFmtId="0" fontId="70" fillId="0" borderId="1" applyAlignment="1" applyProtection="1" pivotButton="0" quotePrefix="0" xfId="200">
      <alignment horizontal="center" vertical="center"/>
      <protection locked="0" hidden="0"/>
    </xf>
    <xf numFmtId="0" fontId="70" fillId="0" borderId="1" applyAlignment="1" applyProtection="1" pivotButton="0" quotePrefix="0" xfId="200">
      <alignment horizontal="center" vertical="center" wrapText="1"/>
      <protection locked="0" hidden="0"/>
    </xf>
    <xf numFmtId="164" fontId="70" fillId="0" borderId="1" applyAlignment="1" applyProtection="1" pivotButton="0" quotePrefix="0" xfId="200">
      <alignment horizontal="center" vertical="center"/>
      <protection locked="0" hidden="0"/>
    </xf>
    <xf numFmtId="58" fontId="70" fillId="0" borderId="1" applyAlignment="1" pivotButton="0" quotePrefix="0" xfId="200">
      <alignment horizontal="center" vertical="center"/>
    </xf>
    <xf numFmtId="164" fontId="70" fillId="0" borderId="1" applyAlignment="1" pivotButton="0" quotePrefix="0" xfId="0">
      <alignment horizontal="center" vertical="center"/>
    </xf>
    <xf numFmtId="0" fontId="70" fillId="0" borderId="1" applyAlignment="1" pivotButton="0" quotePrefix="1" xfId="0">
      <alignment horizontal="center" vertical="center"/>
    </xf>
    <xf numFmtId="0" fontId="70" fillId="0" borderId="2" applyAlignment="1" pivotButton="0" quotePrefix="0" xfId="0">
      <alignment horizontal="center" vertical="center"/>
    </xf>
    <xf numFmtId="166" fontId="70" fillId="0" borderId="1" applyAlignment="1" pivotButton="0" quotePrefix="0" xfId="0">
      <alignment horizontal="center" vertical="center"/>
    </xf>
    <xf numFmtId="0" fontId="70" fillId="0" borderId="3" applyAlignment="1" pivotButton="0" quotePrefix="0" xfId="0">
      <alignment horizontal="center" vertical="center"/>
    </xf>
    <xf numFmtId="166" fontId="70" fillId="0" borderId="0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4" fontId="70" fillId="0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49" fontId="70" fillId="0" borderId="1" applyAlignment="1" pivotButton="0" quotePrefix="0" xfId="0">
      <alignment horizontal="center" vertical="center" wrapText="1"/>
    </xf>
  </cellXfs>
  <cellStyles count="209">
    <cellStyle name="常规" xfId="0" builtinId="0"/>
    <cellStyle name="20% - 强调文字颜色 1 2 15 4 2" xfId="1"/>
    <cellStyle name="20% - 强调文字颜色 4 2 4 4 3 2" xfId="2"/>
    <cellStyle name="20% - 强调文字颜色 6 2 13 3 4" xfId="3"/>
    <cellStyle name="20% - 强调文字颜色 2 8 3 4 2" xfId="4"/>
    <cellStyle name="20% - 强调文字颜色 3 2 3 4 3 2 2" xfId="5"/>
    <cellStyle name="常规 16 20 3 2 2" xfId="6"/>
    <cellStyle name="20% - 强调文字颜色 5 10 3 2 4" xfId="7"/>
    <cellStyle name="40% - 强调文字颜色 1 2 10 4 3 2" xfId="8"/>
    <cellStyle name="常规 2 2 2 5 3 2" xfId="9"/>
    <cellStyle name="常规 130 3 2 10 3 3 4" xfId="10"/>
    <cellStyle name="检查单元格 4 2 2 3" xfId="11"/>
    <cellStyle name="说明文本 2 2 2 3 2" xfId="12"/>
    <cellStyle name="好 2 3 2 2 4 2" xfId="13"/>
    <cellStyle name="常规 130 3 2 10 2 2 3 2 2 3 2 2" xfId="14"/>
    <cellStyle name="常规 7 3 2 6" xfId="15"/>
    <cellStyle name="Input [yellow] 2 6 2" xfId="16"/>
    <cellStyle name="常规 5 3 4 2 2 2 2" xfId="17"/>
    <cellStyle name="常规 4 3 3 2 2 4 2" xfId="18"/>
    <cellStyle name="好 2 3 2 3 2 2 2 3" xfId="19"/>
    <cellStyle name="标题 1 5 2" xfId="20"/>
    <cellStyle name="注释 2 13 4 2 2" xfId="21"/>
    <cellStyle name="说明文本 3 3 2 3" xfId="22"/>
    <cellStyle name="强调文字颜色 2 2 3 3 2" xfId="23"/>
    <cellStyle name="20% - 强调文字颜色 2 4 2" xfId="24"/>
    <cellStyle name="常规 7 3 2 3 2 2" xfId="25"/>
    <cellStyle name="标题 4 2 4 2" xfId="26"/>
    <cellStyle name="40% - 强调文字颜色 4 2 3 3" xfId="27"/>
    <cellStyle name="40% - 强调文字颜色 6 5" xfId="28"/>
    <cellStyle name="好 2 4 4 3 4" xfId="29"/>
    <cellStyle name="常规 158" xfId="30"/>
    <cellStyle name="链接单元格 2 2 3" xfId="31"/>
    <cellStyle name="Grey 2 5" xfId="32"/>
    <cellStyle name="百分比 3 5 2" xfId="33"/>
    <cellStyle name="20% - 强调文字颜色 2 4 2 2" xfId="34"/>
    <cellStyle name="输出 2" xfId="35"/>
    <cellStyle name="Hyperlink 2" xfId="36"/>
    <cellStyle name="标题 3 3 2 2 3" xfId="37"/>
    <cellStyle name="强调文字颜色 5 5 2" xfId="38"/>
    <cellStyle name="常规 4 20" xfId="39"/>
    <cellStyle name="60% - 强调文字颜色 3 3 2 2 4" xfId="40"/>
    <cellStyle name="_ET_STYLE_NoName_00_" xfId="41"/>
    <cellStyle name="强调文字颜色 4 4 2" xfId="42"/>
    <cellStyle name="60% - 着色 5 2 2" xfId="43"/>
    <cellStyle name="标题 2 3" xfId="44"/>
    <cellStyle name="强调文字颜色 1 2 3 2 3" xfId="45"/>
    <cellStyle name="差 2 2 13 2 2 2" xfId="46"/>
    <cellStyle name="20% - 强调文字颜色 3 4 2" xfId="47"/>
    <cellStyle name="20% - 强调文字颜色 4 4" xfId="48"/>
    <cellStyle name="无色 2 3 2 6" xfId="49"/>
    <cellStyle name="强调文字颜色 1 2 2 2 3" xfId="50"/>
    <cellStyle name="标题 4 3 2 2 3" xfId="51"/>
    <cellStyle name="20% - 强调文字颜色 5 2 2 2 2" xfId="52"/>
    <cellStyle name="超链接 7 2" xfId="53"/>
    <cellStyle name="注释 2 2 3" xfId="54"/>
    <cellStyle name="常规 59 5 2 2 2" xfId="55"/>
    <cellStyle name="20% - 强调文字颜色 1 2" xfId="56"/>
    <cellStyle name="Normal 3 4" xfId="57"/>
    <cellStyle name="Input [yellow] 2 2 2 5 2 2" xfId="58"/>
    <cellStyle name="20% - 强调文字颜色 6 2 2 3" xfId="59"/>
    <cellStyle name="20% - 强调文字颜色 3 6 2" xfId="60"/>
    <cellStyle name="解释性文本 2 2 2 3" xfId="61"/>
    <cellStyle name="着色 2 2 2" xfId="62"/>
    <cellStyle name="计算 2 3 2" xfId="63"/>
    <cellStyle name="标题 5" xfId="64"/>
    <cellStyle name="20% - 强调文字颜色 1 2 2 2 2" xfId="65"/>
    <cellStyle name="强调文字颜色 3 2 2 2 2" xfId="66"/>
    <cellStyle name="差 2 2" xfId="67"/>
    <cellStyle name="20% - 强调文字颜色 6 2 2 2" xfId="68"/>
    <cellStyle name="常规 10 12 2 4" xfId="69"/>
    <cellStyle name="20% - 强调文字颜色 4 6 2" xfId="70"/>
    <cellStyle name="60% - 强调文字颜色 2 4 2" xfId="71"/>
    <cellStyle name="60% - 强调文字颜色 6 3 2 2 3" xfId="72"/>
    <cellStyle name="20% - 强调文字颜色 3 2 18 2" xfId="73"/>
    <cellStyle name="40% - 强调文字颜色 5 5" xfId="74"/>
    <cellStyle name="60% - 强调文字颜色 5 3 3" xfId="75"/>
    <cellStyle name="40% - 强调文字颜色 2 2 18" xfId="76"/>
    <cellStyle name="链接单元格 3 2 3" xfId="77"/>
    <cellStyle name="60% - 强调文字颜色 1 3 2 2 2 2" xfId="78"/>
    <cellStyle name="链接单元格 2 3 2 3" xfId="79"/>
    <cellStyle name="40% - 强调文字颜色 1 4 2 2" xfId="80"/>
    <cellStyle name="常规 2 2 23" xfId="81"/>
    <cellStyle name="标题 4 2 4" xfId="82"/>
    <cellStyle name="60% - 强调文字颜色 4 5" xfId="83"/>
    <cellStyle name="60% - 强调文字颜色 5 5" xfId="84"/>
    <cellStyle name="标题 3 5 3" xfId="85"/>
    <cellStyle name="无色 2 2 8" xfId="86"/>
    <cellStyle name="60% - 强调文字颜色 4 3 2 2 4" xfId="87"/>
    <cellStyle name="输入 2 2 2 2 2" xfId="88"/>
    <cellStyle name="Hyperlink 2 2" xfId="89"/>
    <cellStyle name="输入 2 4" xfId="90"/>
    <cellStyle name="说明文本 2 2 9" xfId="91"/>
    <cellStyle name="20% - 强调文字颜色 1 2 18" xfId="92"/>
    <cellStyle name="40% - 强调文字颜色 3 2 3 3" xfId="93"/>
    <cellStyle name="标题 2 4 2 2" xfId="94"/>
    <cellStyle name="60% - 强调文字颜色 2 6 2" xfId="95"/>
    <cellStyle name="60% - 强调文字颜色 3 2" xfId="96"/>
    <cellStyle name="20% - 强调文字颜色 5 4" xfId="97"/>
    <cellStyle name="60% - 强调文字颜色 4 4 2 2" xfId="98"/>
    <cellStyle name="检查单元格 2 3 2" xfId="99"/>
    <cellStyle name="Normal - Style1" xfId="100"/>
    <cellStyle name="常规 71" xfId="101"/>
    <cellStyle name="检查单元格 2 3 2 2" xfId="102"/>
    <cellStyle name="常规 130 3 2 10" xfId="103"/>
    <cellStyle name="标题 7 3" xfId="104"/>
    <cellStyle name="好 2 9 2 3" xfId="105"/>
    <cellStyle name="40% - 强调文字颜色 3 2 18 2" xfId="106"/>
    <cellStyle name="强调文字颜色 3 5 2" xfId="107"/>
    <cellStyle name="60% - 强调文字颜色 1 2 3" xfId="108"/>
    <cellStyle name="超链接 2 14" xfId="109"/>
    <cellStyle name="Input [yellow] 3 2 7" xfId="110"/>
    <cellStyle name="20% - 强调文字颜色 2 2 18" xfId="111"/>
    <cellStyle name="强调文字颜色 6 2 3 2 2 2" xfId="112"/>
    <cellStyle name="计算 2 3 2 2" xfId="113"/>
    <cellStyle name="解释性文本 2 2 6" xfId="114"/>
    <cellStyle name="常规 4 24" xfId="115"/>
    <cellStyle name="Grey 2 3 2" xfId="116"/>
    <cellStyle name="60% - 强调文字颜色 2 3 2 2 4" xfId="117"/>
    <cellStyle name="计算 5 2 3" xfId="118"/>
    <cellStyle name="40% - 强调文字颜色 1 2 18" xfId="119"/>
    <cellStyle name="标题 1 6 2" xfId="120"/>
    <cellStyle name="适中 3 2 3" xfId="121"/>
    <cellStyle name="输出 3 2 4" xfId="122"/>
    <cellStyle name="汇总 2 3 4" xfId="123"/>
    <cellStyle name="警告文本 2 3 3" xfId="124"/>
    <cellStyle name="常规 144" xfId="125"/>
    <cellStyle name="强调文字颜色 6 2 2 2 2" xfId="126"/>
    <cellStyle name="输入 3 3" xfId="127"/>
    <cellStyle name="强调文字颜色 2 2 2 3" xfId="128"/>
    <cellStyle name="汇总 2 3 3" xfId="129"/>
    <cellStyle name="60% - 强调文字颜色 1 2 4 2" xfId="130"/>
    <cellStyle name="Percent [2]" xfId="131"/>
    <cellStyle name="标题 5 2 2 2 3" xfId="132"/>
    <cellStyle name="Normal 2 2" xfId="133"/>
    <cellStyle name="注释 2 3 2 2" xfId="134"/>
    <cellStyle name="标题 3 2 2 2 3" xfId="135"/>
    <cellStyle name="标题 7 2 3" xfId="136"/>
    <cellStyle name="标题 4 2 2 2 3" xfId="137"/>
    <cellStyle name="标题 3 2 3 2" xfId="138"/>
    <cellStyle name="解释性文本 2 2 2" xfId="139"/>
    <cellStyle name="常规 2 2 26" xfId="140"/>
    <cellStyle name="着色 3 2 2" xfId="141"/>
    <cellStyle name="常规 4 6 2 8" xfId="142"/>
    <cellStyle name="警告文本 3 2 4" xfId="143"/>
    <cellStyle name="强调文字颜色 2 5 2" xfId="144"/>
    <cellStyle name="Normal 3" xfId="145"/>
    <cellStyle name="60% - 强调文字颜色 1 2 2 2 3" xfId="146"/>
    <cellStyle name="说明文本 5 6" xfId="147"/>
    <cellStyle name="60% - 强调文字颜色 6 2 2 2 3" xfId="148"/>
    <cellStyle name="输出 2 2 2 2 4" xfId="149"/>
    <cellStyle name="汇总 2 2 2 2 4" xfId="150"/>
    <cellStyle name="超链接 8" xfId="151"/>
    <cellStyle name="标题 1 4 2 2 2" xfId="152"/>
    <cellStyle name="标题 2 4 2 2 2" xfId="153"/>
    <cellStyle name="输入 3 2 2 2" xfId="154"/>
    <cellStyle name="20% - 强调文字颜色 5 2 18 2" xfId="155"/>
    <cellStyle name="常规 2 112" xfId="156"/>
    <cellStyle name="40% - 强调文字颜色 3 4 2" xfId="157"/>
    <cellStyle name="警告文本 2 2 2 3" xfId="158"/>
    <cellStyle name="无色 2 3 8" xfId="159"/>
    <cellStyle name="60% - 着色 2 2 2" xfId="160"/>
    <cellStyle name="60% - 着色 3 2 2" xfId="161"/>
    <cellStyle name="60% - 着色 4 2 2" xfId="162"/>
    <cellStyle name="Input [yellow] 2 2 4 4" xfId="163"/>
    <cellStyle name="20% - 强调文字颜色 4 2 18 2" xfId="164"/>
    <cellStyle name="适中 2 3" xfId="165"/>
    <cellStyle name="Hyperlink 2 2 2" xfId="166"/>
    <cellStyle name="适中 3 3" xfId="167"/>
    <cellStyle name="说明文本 4 8" xfId="168"/>
    <cellStyle name="60% - 强调文字颜色 6 2" xfId="169"/>
    <cellStyle name="强调文字颜色 4 3 2 2" xfId="170"/>
    <cellStyle name="强调文字颜色 4 4 2 2 2" xfId="171"/>
    <cellStyle name="Grey 3" xfId="172"/>
    <cellStyle name="百分比 2 8" xfId="173"/>
    <cellStyle name="超链接 2 15" xfId="174"/>
    <cellStyle name="链接单元格 2 4" xfId="175"/>
    <cellStyle name="60% - 强调文字颜色 3 2 5" xfId="176"/>
    <cellStyle name="超链接 3 6" xfId="177"/>
    <cellStyle name="差 2 5" xfId="178"/>
    <cellStyle name="常规 2 3 2 6 4" xfId="179"/>
    <cellStyle name="解释性文本 2 3 2 2 2" xfId="180"/>
    <cellStyle name="标题 2 2 2 2 3" xfId="181"/>
    <cellStyle name="常规 2" xfId="182"/>
    <cellStyle name="强调文字颜色 5 4 2 2" xfId="183"/>
    <cellStyle name="强调文字颜色 3 3 2 2 2" xfId="184"/>
    <cellStyle name="20% - 强调文字颜色 6 2 18" xfId="185"/>
    <cellStyle name="40% - 强调文字颜色 6 2 18 2" xfId="186"/>
    <cellStyle name="汇总 2" xfId="187"/>
    <cellStyle name="无色 3 8" xfId="188"/>
    <cellStyle name="Grey 2" xfId="189"/>
    <cellStyle name="着色 6 2 2" xfId="190"/>
    <cellStyle name="输出 5 3" xfId="191"/>
    <cellStyle name="警告文本 2 2" xfId="192"/>
    <cellStyle name="计算 2 2 2 2 4" xfId="193"/>
    <cellStyle name="Hyperlink 2 4" xfId="194"/>
    <cellStyle name="标题 1 2 2 2 3" xfId="195"/>
    <cellStyle name="差 2 9 2" xfId="196"/>
    <cellStyle name="适中 2 2 2 3" xfId="197"/>
    <cellStyle name="解释性文本 6 3" xfId="198"/>
    <cellStyle name="常规 2 3 2 10" xfId="199"/>
    <cellStyle name="常规 3" xfId="200"/>
    <cellStyle name="解释性文本 4 2 2" xfId="201"/>
    <cellStyle name="解释性文本 2 7" xfId="202"/>
    <cellStyle name="超链接 2 12" xfId="203"/>
    <cellStyle name="超链接 3" xfId="204"/>
    <cellStyle name="检查单元格 2 2 2 3" xfId="205"/>
    <cellStyle name="无色 4 8" xfId="206"/>
    <cellStyle name="样式 1" xfId="207"/>
    <cellStyle name="Normal_tmc program 2003may24 (Excel 5.0)" xfId="208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zoomScale="80" zoomScaleNormal="80" workbookViewId="0">
      <pane ySplit="5" topLeftCell="A17" activePane="bottomLeft" state="frozen"/>
      <selection pane="bottomLeft" activeCell="F42" sqref="F42"/>
    </sheetView>
  </sheetViews>
  <sheetFormatPr baseColWidth="8" defaultColWidth="9" defaultRowHeight="13.5"/>
  <cols>
    <col width="21.5" customWidth="1" style="41" min="2" max="2"/>
    <col width="24.875" customWidth="1" style="41" min="3" max="3"/>
    <col width="9.875" customWidth="1" style="41" min="4" max="4"/>
    <col width="20.5" customWidth="1" style="41" min="5" max="5"/>
    <col width="27.5" customWidth="1" style="41" min="6" max="6"/>
    <col width="12.625" customWidth="1" style="41" min="14" max="15"/>
    <col width="18.875" customWidth="1" style="41" min="17" max="17"/>
    <col width="33.75" customWidth="1" style="41" min="18" max="18"/>
  </cols>
  <sheetData>
    <row r="1" ht="15.75" customFormat="1" customHeight="1" s="1">
      <c r="A1" s="70" t="inlineStr">
        <is>
          <t> </t>
        </is>
      </c>
      <c r="B1" s="42" t="n"/>
      <c r="C1" s="42" t="n"/>
      <c r="D1" s="42" t="n"/>
      <c r="E1" s="42" t="n"/>
      <c r="F1" s="42" t="n"/>
      <c r="G1" s="42" t="n"/>
      <c r="H1" s="42" t="n"/>
      <c r="I1" s="43" t="n"/>
      <c r="K1" s="44" t="n"/>
      <c r="L1" s="45" t="n"/>
      <c r="M1" s="46" t="n"/>
      <c r="N1" s="46" t="n"/>
      <c r="O1" s="7" t="n"/>
      <c r="P1" s="7" t="n"/>
      <c r="Q1" s="47" t="n"/>
      <c r="R1" s="9" t="n"/>
    </row>
    <row r="2" ht="30.95" customFormat="1" customHeight="1" s="1">
      <c r="A2" s="48" t="n"/>
      <c r="B2" s="49" t="n"/>
      <c r="C2" s="49" t="n"/>
      <c r="D2" s="49" t="n"/>
      <c r="E2" s="49" t="n"/>
      <c r="F2" s="49" t="n"/>
      <c r="G2" s="49" t="n"/>
      <c r="H2" s="49" t="n"/>
      <c r="I2" s="50" t="n"/>
      <c r="K2" s="44" t="n"/>
      <c r="L2" s="45" t="n"/>
      <c r="M2" s="46" t="n"/>
      <c r="N2" s="46" t="n"/>
      <c r="O2" s="7" t="n"/>
      <c r="P2" s="7" t="n"/>
      <c r="Q2" s="47" t="n"/>
      <c r="R2" s="9" t="n"/>
    </row>
    <row r="3" ht="26.1" customFormat="1" customHeight="1" s="1">
      <c r="A3" s="71" t="inlineStr">
        <is>
          <t>实验人</t>
        </is>
      </c>
      <c r="B3" s="51" t="n"/>
      <c r="C3" s="72" t="inlineStr">
        <is>
          <t>TY</t>
        </is>
      </c>
      <c r="D3" s="73" t="inlineStr">
        <is>
          <t>复核人</t>
        </is>
      </c>
      <c r="E3" s="72" t="inlineStr">
        <is>
          <t>TY</t>
        </is>
      </c>
      <c r="F3" s="71" t="inlineStr">
        <is>
          <t>样本个数</t>
        </is>
      </c>
      <c r="G3" s="71" t="n">
        <v>38</v>
      </c>
      <c r="H3" s="53" t="n"/>
      <c r="I3" s="51" t="n"/>
      <c r="J3" s="13" t="n"/>
      <c r="K3" s="44" t="n"/>
      <c r="L3" s="45" t="n"/>
      <c r="M3" s="46" t="n"/>
      <c r="N3" s="46" t="n"/>
      <c r="O3" s="7" t="n"/>
      <c r="P3" s="54" t="n"/>
      <c r="Q3" s="15" t="n"/>
      <c r="R3" s="9" t="n"/>
    </row>
    <row r="4" ht="26.1" customFormat="1" customHeight="1" s="1">
      <c r="A4" s="71" t="inlineStr">
        <is>
          <t>实验日期</t>
        </is>
      </c>
      <c r="B4" s="51" t="n"/>
      <c r="C4" s="74">
        <f>TODAY()</f>
        <v/>
      </c>
      <c r="D4" s="75" t="inlineStr">
        <is>
          <t>试剂批号</t>
        </is>
      </c>
      <c r="E4" s="76" t="inlineStr">
        <is>
          <t>0000137214</t>
        </is>
      </c>
      <c r="F4" s="70" t="inlineStr">
        <is>
          <t>样本初测</t>
        </is>
      </c>
      <c r="G4" s="36" t="n"/>
      <c r="H4" s="53" t="n"/>
      <c r="I4" s="51" t="n"/>
      <c r="J4" s="13" t="n"/>
      <c r="K4" s="44" t="n"/>
      <c r="L4" s="45" t="n"/>
      <c r="M4" s="46" t="n"/>
      <c r="N4" s="46" t="n"/>
      <c r="O4" s="7" t="n"/>
      <c r="P4" s="54" t="n"/>
      <c r="Q4" s="15" t="n"/>
      <c r="R4" s="9" t="n"/>
    </row>
    <row r="5" ht="15" customFormat="1" customHeight="1" s="1">
      <c r="A5" s="77" t="inlineStr">
        <is>
          <t>序号</t>
        </is>
      </c>
      <c r="B5" s="70" t="inlineStr">
        <is>
          <t>HGC编号</t>
        </is>
      </c>
      <c r="C5" s="70" t="inlineStr">
        <is>
          <t>文库名称</t>
        </is>
      </c>
      <c r="D5" s="75" t="inlineStr">
        <is>
          <t>数据量/G</t>
        </is>
      </c>
      <c r="E5" s="70" t="inlineStr">
        <is>
          <t>文库类型</t>
        </is>
      </c>
      <c r="F5" s="70" t="inlineStr">
        <is>
          <t>合同编号</t>
        </is>
      </c>
      <c r="G5" s="70" t="inlineStr">
        <is>
          <t>浓度ng/ul</t>
        </is>
      </c>
      <c r="H5" s="78" t="inlineStr">
        <is>
          <t>片段</t>
        </is>
      </c>
      <c r="I5" s="79" t="inlineStr">
        <is>
          <t>浓度nM</t>
        </is>
      </c>
      <c r="J5" s="13" t="n"/>
      <c r="K5" s="44" t="n"/>
      <c r="L5" s="80" t="inlineStr">
        <is>
          <t>稀释倍数</t>
        </is>
      </c>
      <c r="M5" s="59" t="n"/>
      <c r="N5" s="81" t="inlineStr">
        <is>
          <t>浓度ng/ul</t>
        </is>
      </c>
      <c r="O5" s="81" t="inlineStr">
        <is>
          <t>浓度nM</t>
        </is>
      </c>
      <c r="P5" s="59" t="n"/>
      <c r="Q5" s="81" t="inlineStr">
        <is>
          <t>备注</t>
        </is>
      </c>
      <c r="R5" s="82" t="inlineStr">
        <is>
          <t>客户单位</t>
        </is>
      </c>
      <c r="S5" s="46" t="n"/>
    </row>
    <row r="6" ht="15" customHeight="1" s="41">
      <c r="A6" s="77" t="n">
        <v>1</v>
      </c>
      <c r="B6" s="70" t="inlineStr">
        <is>
          <t>HGC-POOL-26022901</t>
        </is>
      </c>
      <c r="C6" s="70" t="inlineStr">
        <is>
          <t>H26021201</t>
        </is>
      </c>
      <c r="D6" s="75" t="n">
        <v>1000</v>
      </c>
      <c r="E6" s="70" t="inlineStr">
        <is>
          <t>mRNA</t>
        </is>
      </c>
      <c r="F6" s="70" t="inlineStr">
        <is>
          <t>PSM-ZM202509120010-0047</t>
        </is>
      </c>
      <c r="G6" s="70" t="n">
        <v>10.5</v>
      </c>
      <c r="H6" s="78" t="n">
        <v>460</v>
      </c>
      <c r="I6" s="75">
        <f>G6/H6/650*1000000</f>
        <v/>
      </c>
      <c r="J6" s="13" t="n"/>
      <c r="K6" s="44" t="n"/>
      <c r="L6" s="80" t="n">
        <v>20000</v>
      </c>
      <c r="M6" s="82">
        <f>N6/G6</f>
        <v/>
      </c>
      <c r="N6" s="7" t="n"/>
      <c r="O6" s="7" t="n"/>
      <c r="P6" s="82">
        <f>O6/I6</f>
        <v/>
      </c>
      <c r="Q6" s="28" t="n"/>
      <c r="R6" s="82" t="inlineStr">
        <is>
          <t>武汉迈维代谢生物科技股份有限公司</t>
        </is>
      </c>
      <c r="S6" s="46" t="n"/>
    </row>
    <row r="7" ht="15" customFormat="1" customHeight="1" s="1">
      <c r="A7" s="77" t="n">
        <v>2</v>
      </c>
      <c r="B7" s="70" t="inlineStr">
        <is>
          <t>HGC-POOL-26008582</t>
        </is>
      </c>
      <c r="C7" s="70" t="inlineStr">
        <is>
          <t>H26011701</t>
        </is>
      </c>
      <c r="D7" s="75" t="n">
        <v>1000</v>
      </c>
      <c r="E7" s="70" t="inlineStr">
        <is>
          <t>mRNA</t>
        </is>
      </c>
      <c r="F7" s="70" t="inlineStr">
        <is>
          <t>PSM-ZM202509120010-0033</t>
        </is>
      </c>
      <c r="G7" s="70" t="n">
        <v>17.5</v>
      </c>
      <c r="H7" s="78" t="n">
        <v>430</v>
      </c>
      <c r="I7" s="75">
        <f>G7/H7/650*1000000</f>
        <v/>
      </c>
      <c r="J7" s="13" t="n"/>
      <c r="K7" s="44" t="n"/>
      <c r="L7" s="45" t="n"/>
      <c r="M7" s="46" t="n"/>
      <c r="N7" s="7" t="n"/>
      <c r="O7" s="7" t="n"/>
      <c r="P7" s="46" t="n"/>
      <c r="Q7" s="28" t="n"/>
      <c r="R7" s="82" t="inlineStr">
        <is>
          <t>武汉迈维代谢生物科技股份有限公司</t>
        </is>
      </c>
      <c r="S7" s="46" t="n"/>
      <c r="T7" s="0" t="n"/>
    </row>
    <row r="8">
      <c r="A8" s="83" t="n">
        <v>3</v>
      </c>
      <c r="B8" s="83" t="inlineStr">
        <is>
          <t>JZP260805024</t>
        </is>
      </c>
      <c r="C8" s="83" t="inlineStr">
        <is>
          <t>JZP260805024</t>
        </is>
      </c>
      <c r="D8" s="83" t="n">
        <v>1000</v>
      </c>
      <c r="E8" s="83" t="inlineStr">
        <is>
          <t>其他文库类型</t>
        </is>
      </c>
      <c r="F8" s="83" t="inlineStr">
        <is>
          <t>PSM-ZM202605110004-0073</t>
        </is>
      </c>
      <c r="G8" s="67" t="n"/>
      <c r="H8" s="66" t="n"/>
      <c r="I8" s="83">
        <f>G8/H8/650*1000000</f>
        <v/>
      </c>
      <c r="M8" s="81">
        <f>N8/G8</f>
        <v/>
      </c>
      <c r="N8" s="68" t="n"/>
      <c r="O8" s="68" t="n"/>
      <c r="P8" s="81">
        <f>O8/I8</f>
        <v/>
      </c>
      <c r="Q8" s="81" t="inlineStr">
        <is>
          <t>151+10+10+151加1%phix</t>
        </is>
      </c>
      <c r="R8" s="81" t="inlineStr">
        <is>
          <t>解达生物科技（上海）有限公司</t>
        </is>
      </c>
    </row>
    <row r="9">
      <c r="A9" s="83" t="n">
        <v>4</v>
      </c>
      <c r="B9" s="83" t="inlineStr">
        <is>
          <t>JZP260805025</t>
        </is>
      </c>
      <c r="C9" s="83" t="inlineStr">
        <is>
          <t>JZP260805025</t>
        </is>
      </c>
      <c r="D9" s="83" t="n">
        <v>1000</v>
      </c>
      <c r="E9" s="83" t="inlineStr">
        <is>
          <t>其他文库类型</t>
        </is>
      </c>
      <c r="F9" s="83" t="inlineStr">
        <is>
          <t>PSM-ZM202605110004-0073</t>
        </is>
      </c>
      <c r="G9" s="67" t="n"/>
      <c r="H9" s="66" t="n"/>
      <c r="I9" s="83">
        <f>G9/H9/650*1000000</f>
        <v/>
      </c>
      <c r="M9" s="81">
        <f>N9/G9</f>
        <v/>
      </c>
      <c r="N9" s="68" t="n"/>
      <c r="O9" s="68" t="n"/>
      <c r="P9" s="81">
        <f>O9/I9</f>
        <v/>
      </c>
      <c r="Q9" s="81" t="inlineStr">
        <is>
          <t>151+10+10+151加1%phix</t>
        </is>
      </c>
      <c r="R9" s="81" t="inlineStr">
        <is>
          <t>解达生物科技（上海）有限公司</t>
        </is>
      </c>
    </row>
    <row r="10">
      <c r="A10" s="83" t="n">
        <v>5</v>
      </c>
      <c r="B10" s="83" t="inlineStr">
        <is>
          <t>JZP260805026</t>
        </is>
      </c>
      <c r="C10" s="83" t="inlineStr">
        <is>
          <t>JZP260805026</t>
        </is>
      </c>
      <c r="D10" s="83" t="n">
        <v>1000</v>
      </c>
      <c r="E10" s="83" t="inlineStr">
        <is>
          <t>其他文库类型</t>
        </is>
      </c>
      <c r="F10" s="83" t="inlineStr">
        <is>
          <t>PSM-ZM202605110004-0073</t>
        </is>
      </c>
      <c r="G10" s="67" t="n"/>
      <c r="H10" s="66" t="n"/>
      <c r="I10" s="83">
        <f>G10/H10/650*1000000</f>
        <v/>
      </c>
      <c r="M10" s="81">
        <f>N10/G10</f>
        <v/>
      </c>
      <c r="N10" s="68" t="n"/>
      <c r="O10" s="68" t="n"/>
      <c r="P10" s="81">
        <f>O10/I10</f>
        <v/>
      </c>
      <c r="Q10" s="81" t="inlineStr">
        <is>
          <t>151+10+10+151加1%phix</t>
        </is>
      </c>
      <c r="R10" s="81" t="inlineStr">
        <is>
          <t>解达生物科技（上海）有限公司</t>
        </is>
      </c>
    </row>
    <row r="11">
      <c r="A11" s="83" t="n">
        <v>6</v>
      </c>
      <c r="B11" s="83" t="inlineStr">
        <is>
          <t>JZP260805027</t>
        </is>
      </c>
      <c r="C11" s="83" t="inlineStr">
        <is>
          <t>JZP260805027</t>
        </is>
      </c>
      <c r="D11" s="83" t="n">
        <v>1000</v>
      </c>
      <c r="E11" s="83" t="inlineStr">
        <is>
          <t>其他文库类型</t>
        </is>
      </c>
      <c r="F11" s="83" t="inlineStr">
        <is>
          <t>PSM-ZM202605110004-0073</t>
        </is>
      </c>
      <c r="G11" s="67" t="n"/>
      <c r="H11" s="66" t="n"/>
      <c r="I11" s="83">
        <f>G11/H11/650*1000000</f>
        <v/>
      </c>
      <c r="M11" s="81">
        <f>N11/G11</f>
        <v/>
      </c>
      <c r="N11" s="68" t="n"/>
      <c r="O11" s="68" t="n"/>
      <c r="P11" s="81">
        <f>O11/I11</f>
        <v/>
      </c>
      <c r="Q11" s="81" t="inlineStr">
        <is>
          <t>151+10+10+151加1%phix</t>
        </is>
      </c>
      <c r="R11" s="81" t="inlineStr">
        <is>
          <t>解达生物科技（上海）有限公司</t>
        </is>
      </c>
    </row>
    <row r="12">
      <c r="A12" s="83" t="n">
        <v>7</v>
      </c>
      <c r="B12" s="83" t="inlineStr">
        <is>
          <t>H26080501</t>
        </is>
      </c>
      <c r="C12" s="83" t="inlineStr">
        <is>
          <t>H26080501</t>
        </is>
      </c>
      <c r="D12" s="83" t="n">
        <v>1000</v>
      </c>
      <c r="E12" s="83" t="inlineStr">
        <is>
          <t>mRNA</t>
        </is>
      </c>
      <c r="F12" s="83" t="inlineStr">
        <is>
          <t>PSM-ZM202606050014-0055</t>
        </is>
      </c>
      <c r="G12" s="67" t="n"/>
      <c r="H12" s="66" t="n"/>
      <c r="I12" s="83">
        <f>G12/H12/650*1000000</f>
        <v/>
      </c>
      <c r="M12" s="81">
        <f>N12/G12</f>
        <v/>
      </c>
      <c r="N12" s="68" t="n"/>
      <c r="O12" s="68" t="n"/>
      <c r="P12" s="81">
        <f>O12/I12</f>
        <v/>
      </c>
      <c r="Q12" s="68" t="n"/>
      <c r="R12" s="81" t="inlineStr">
        <is>
          <t>武汉迈维代谢生物科技股份有限公司</t>
        </is>
      </c>
    </row>
    <row r="13">
      <c r="A13" s="83" t="n">
        <v>8</v>
      </c>
      <c r="B13" s="83" t="inlineStr">
        <is>
          <t>B6-240</t>
        </is>
      </c>
      <c r="C13" s="83" t="inlineStr">
        <is>
          <t>B6-240</t>
        </is>
      </c>
      <c r="D13" s="83" t="n">
        <v>240</v>
      </c>
      <c r="E13" s="83" t="inlineStr">
        <is>
          <t>10x3′单细胞转录组</t>
        </is>
      </c>
      <c r="F13" s="83" t="inlineStr">
        <is>
          <t>PSM-ZM202601040005-0019</t>
        </is>
      </c>
      <c r="G13" s="67" t="n"/>
      <c r="H13" s="83" t="n">
        <v>468</v>
      </c>
      <c r="I13" s="83">
        <f>G13/H13/650*1000000</f>
        <v/>
      </c>
      <c r="M13" s="81">
        <f>N13/G13</f>
        <v/>
      </c>
      <c r="N13" s="68" t="n"/>
      <c r="O13" s="81" t="n">
        <v>45</v>
      </c>
      <c r="P13" s="81">
        <f>O13/I13</f>
        <v/>
      </c>
      <c r="Q13" s="68" t="n"/>
      <c r="R13" s="81" t="inlineStr">
        <is>
          <t>四川欣莱科生物科技有限公司</t>
        </is>
      </c>
    </row>
    <row r="14">
      <c r="A14" s="83" t="n">
        <v>9</v>
      </c>
      <c r="B14" s="83" t="inlineStr">
        <is>
          <t>B6-800</t>
        </is>
      </c>
      <c r="C14" s="83" t="inlineStr">
        <is>
          <t>B6-800</t>
        </is>
      </c>
      <c r="D14" s="83" t="n">
        <v>800</v>
      </c>
      <c r="E14" s="83" t="inlineStr">
        <is>
          <t>BD-单细胞</t>
        </is>
      </c>
      <c r="F14" s="83" t="inlineStr">
        <is>
          <t>PSM-ZM202607100001-0058</t>
        </is>
      </c>
      <c r="G14" s="67" t="n"/>
      <c r="H14" s="66" t="n"/>
      <c r="I14" s="83">
        <f>G14/H14/650*1000000</f>
        <v/>
      </c>
      <c r="M14" s="81">
        <f>N14/G14</f>
        <v/>
      </c>
      <c r="N14" s="81" t="n">
        <v>12.5</v>
      </c>
      <c r="O14" s="68" t="n"/>
      <c r="P14" s="81">
        <f>O14/I14</f>
        <v/>
      </c>
      <c r="Q14" s="68" t="n"/>
      <c r="R14" s="81" t="inlineStr">
        <is>
          <t>江西烈冰生物科技有限公司</t>
        </is>
      </c>
    </row>
    <row r="15">
      <c r="A15" s="83" t="n">
        <v>10</v>
      </c>
      <c r="B15" s="83" t="inlineStr">
        <is>
          <t>B7-50</t>
        </is>
      </c>
      <c r="C15" s="83" t="inlineStr">
        <is>
          <t>B7-50</t>
        </is>
      </c>
      <c r="D15" s="83" t="n">
        <v>50</v>
      </c>
      <c r="E15" s="83" t="inlineStr">
        <is>
          <t>ATAC</t>
        </is>
      </c>
      <c r="F15" s="83" t="inlineStr">
        <is>
          <t>PSM-ZM202602060018-0039</t>
        </is>
      </c>
      <c r="G15" s="67" t="n"/>
      <c r="H15" s="83" t="n">
        <v>486</v>
      </c>
      <c r="I15" s="83">
        <f>G15/H15/650*1000000</f>
        <v/>
      </c>
      <c r="J15" s="81" t="inlineStr">
        <is>
          <t>纯化</t>
        </is>
      </c>
      <c r="M15" s="81">
        <f>N15/G15</f>
        <v/>
      </c>
      <c r="N15" s="68" t="n"/>
      <c r="O15" s="81" t="n">
        <v>45</v>
      </c>
      <c r="P15" s="81">
        <f>O15/I15</f>
        <v/>
      </c>
      <c r="Q15" s="81" t="inlineStr">
        <is>
          <t>补测_20260801_LH00128_0610_A23N35CLT4</t>
        </is>
      </c>
      <c r="R15" s="81" t="inlineStr">
        <is>
          <t>南京世和基因生物技术股份有限公司</t>
        </is>
      </c>
    </row>
    <row r="16">
      <c r="A16" s="83" t="n">
        <v>11</v>
      </c>
      <c r="B16" s="83" t="inlineStr">
        <is>
          <t>B7-7</t>
        </is>
      </c>
      <c r="C16" s="83" t="inlineStr">
        <is>
          <t>B7-7</t>
        </is>
      </c>
      <c r="D16" s="83" t="n">
        <v>7</v>
      </c>
      <c r="E16" s="83" t="inlineStr">
        <is>
          <t>PCR产物</t>
        </is>
      </c>
      <c r="F16" s="83" t="inlineStr">
        <is>
          <t>PSM-ZM202509290011-0021</t>
        </is>
      </c>
      <c r="G16" s="67" t="n"/>
      <c r="H16" s="83" t="n">
        <v>328.6</v>
      </c>
      <c r="I16" s="83">
        <f>G16/H16/650*1000000</f>
        <v/>
      </c>
      <c r="M16" s="81">
        <f>N16/G16</f>
        <v/>
      </c>
      <c r="N16" s="68" t="n"/>
      <c r="O16" s="81" t="n">
        <v>41.09</v>
      </c>
      <c r="P16" s="81">
        <f>O16/I16</f>
        <v/>
      </c>
      <c r="Q16" s="81" t="inlineStr">
        <is>
          <t>补测_260803_LH00348_0660_A23NNVVLT4</t>
        </is>
      </c>
      <c r="R16" s="81" t="inlineStr">
        <is>
          <t>广州医科大学</t>
        </is>
      </c>
    </row>
    <row r="17">
      <c r="A17" s="83" t="n">
        <v>12</v>
      </c>
      <c r="B17" s="83" t="inlineStr">
        <is>
          <t>B7-16</t>
        </is>
      </c>
      <c r="C17" s="83" t="inlineStr">
        <is>
          <t>B7-16</t>
        </is>
      </c>
      <c r="D17" s="83" t="n">
        <v>16</v>
      </c>
      <c r="E17" s="83" t="inlineStr">
        <is>
          <t>PCR产物文库</t>
        </is>
      </c>
      <c r="F17" s="83" t="inlineStr">
        <is>
          <t>PSM-ZM202603030004-0026</t>
        </is>
      </c>
      <c r="G17" s="67" t="n"/>
      <c r="H17" s="83" t="n">
        <v>434.5</v>
      </c>
      <c r="I17" s="83">
        <f>G17/H17/650*1000000</f>
        <v/>
      </c>
      <c r="M17" s="81">
        <f>N17/G17</f>
        <v/>
      </c>
      <c r="N17" s="68" t="n"/>
      <c r="O17" s="81" t="n">
        <v>13.688</v>
      </c>
      <c r="P17" s="81">
        <f>O17/I17</f>
        <v/>
      </c>
      <c r="Q17" s="81" t="inlineStr">
        <is>
          <t>补测_260803_LH00348_0660_A23NNVVLT4</t>
        </is>
      </c>
      <c r="R17" s="81" t="inlineStr">
        <is>
          <t>中国科学院脑科学与智能技术卓越创新中心</t>
        </is>
      </c>
    </row>
    <row r="18">
      <c r="A18" s="83" t="n">
        <v>13</v>
      </c>
      <c r="B18" s="83" t="inlineStr">
        <is>
          <t>B7-10</t>
        </is>
      </c>
      <c r="C18" s="83" t="inlineStr">
        <is>
          <t>B7-10</t>
        </is>
      </c>
      <c r="D18" s="83" t="n">
        <v>10</v>
      </c>
      <c r="E18" s="83" t="inlineStr">
        <is>
          <t>WGS</t>
        </is>
      </c>
      <c r="F18" s="83" t="inlineStr">
        <is>
          <t>PSM-ZM202508210001-0064</t>
        </is>
      </c>
      <c r="G18" s="67" t="n"/>
      <c r="H18" s="83" t="n">
        <v>385.8</v>
      </c>
      <c r="I18" s="83">
        <f>G18/H18/650*1000000</f>
        <v/>
      </c>
      <c r="M18" s="81">
        <f>N18/G18</f>
        <v/>
      </c>
      <c r="N18" s="68" t="n"/>
      <c r="O18" s="81" t="n">
        <v>1.447</v>
      </c>
      <c r="P18" s="81">
        <f>O18/I18</f>
        <v/>
      </c>
      <c r="Q18" s="68" t="n"/>
      <c r="R18" s="81" t="inlineStr">
        <is>
          <t>西湖大学</t>
        </is>
      </c>
    </row>
    <row r="19">
      <c r="A19" s="83" t="n">
        <v>14</v>
      </c>
      <c r="B19" s="83" t="inlineStr">
        <is>
          <t>B7-90</t>
        </is>
      </c>
      <c r="C19" s="83" t="inlineStr">
        <is>
          <t>B7-90</t>
        </is>
      </c>
      <c r="D19" s="83" t="n">
        <v>90</v>
      </c>
      <c r="E19" s="83" t="inlineStr">
        <is>
          <t>mRNA</t>
        </is>
      </c>
      <c r="F19" s="83" t="inlineStr">
        <is>
          <t>PSM-ZM202508140005-0051</t>
        </is>
      </c>
      <c r="G19" s="67" t="n"/>
      <c r="H19" s="83" t="n">
        <v>320.13</v>
      </c>
      <c r="I19" s="83">
        <f>G19/H19/650*1000000</f>
        <v/>
      </c>
      <c r="M19" s="81">
        <f>N19/G19</f>
        <v/>
      </c>
      <c r="N19" s="68" t="n"/>
      <c r="O19" s="81" t="n">
        <v>45</v>
      </c>
      <c r="P19" s="81">
        <f>O19/I19</f>
        <v/>
      </c>
      <c r="Q19" s="68" t="n"/>
      <c r="R19" s="81" t="inlineStr">
        <is>
          <t>华中农业大学</t>
        </is>
      </c>
    </row>
    <row r="20">
      <c r="A20" s="83" t="n">
        <v>15</v>
      </c>
      <c r="B20" s="83" t="inlineStr">
        <is>
          <t>B7-240</t>
        </is>
      </c>
      <c r="C20" s="83" t="inlineStr">
        <is>
          <t>B7-240</t>
        </is>
      </c>
      <c r="D20" s="83" t="n">
        <v>240</v>
      </c>
      <c r="E20" s="83" t="inlineStr">
        <is>
          <t>singleron-3'转录组文库</t>
        </is>
      </c>
      <c r="F20" s="83" t="inlineStr">
        <is>
          <t>PSM-ZM202605250008-0146</t>
        </is>
      </c>
      <c r="G20" s="67" t="n"/>
      <c r="H20" s="66" t="n"/>
      <c r="I20" s="83">
        <f>G20/H20/650*1000000</f>
        <v/>
      </c>
      <c r="M20" s="81">
        <f>N20/G20</f>
        <v/>
      </c>
      <c r="N20" s="81" t="n">
        <v>12.5</v>
      </c>
      <c r="O20" s="68" t="n"/>
      <c r="P20" s="81">
        <f>O20/I20</f>
        <v/>
      </c>
      <c r="Q20" s="81" t="inlineStr">
        <is>
          <t>加测_20260802_LH00348_0655_B23N2JWLT4</t>
        </is>
      </c>
      <c r="R20" s="81" t="inlineStr">
        <is>
          <t>南京通元医学检验实验室有限公司</t>
        </is>
      </c>
    </row>
    <row r="21">
      <c r="A21" s="83" t="n">
        <v>16</v>
      </c>
      <c r="B21" s="83" t="inlineStr">
        <is>
          <t>B7-11</t>
        </is>
      </c>
      <c r="C21" s="83" t="inlineStr">
        <is>
          <t>B7-11</t>
        </is>
      </c>
      <c r="D21" s="83" t="n">
        <v>11</v>
      </c>
      <c r="E21" s="83" t="inlineStr">
        <is>
          <t>其他文库类型</t>
        </is>
      </c>
      <c r="F21" s="83" t="inlineStr">
        <is>
          <t>PSM-ZM202607020001-0012</t>
        </is>
      </c>
      <c r="G21" s="67" t="n"/>
      <c r="H21" s="83" t="n">
        <v>688.33</v>
      </c>
      <c r="I21" s="83">
        <f>G21/H21/650*1000000</f>
        <v/>
      </c>
      <c r="M21" s="81">
        <f>N21/G21</f>
        <v/>
      </c>
      <c r="N21" s="68" t="n"/>
      <c r="O21" s="81" t="n">
        <v>45</v>
      </c>
      <c r="P21" s="81">
        <f>O21/I21</f>
        <v/>
      </c>
      <c r="Q21" s="81" t="inlineStr">
        <is>
          <t>补测_260803_LH00348_0661_B23NLLMLT4</t>
        </is>
      </c>
      <c r="R21" s="81" t="inlineStr">
        <is>
          <t>广州新蓝基因科技有限公司</t>
        </is>
      </c>
    </row>
    <row r="22">
      <c r="A22" s="83" t="n">
        <v>17</v>
      </c>
      <c r="B22" s="83" t="inlineStr">
        <is>
          <t>B7-9</t>
        </is>
      </c>
      <c r="C22" s="83" t="inlineStr">
        <is>
          <t>B7-9</t>
        </is>
      </c>
      <c r="D22" s="83" t="n">
        <v>9</v>
      </c>
      <c r="E22" s="83" t="inlineStr">
        <is>
          <t>其他文库类型</t>
        </is>
      </c>
      <c r="F22" s="83" t="inlineStr">
        <is>
          <t>PSM-ZM202607020006-0007</t>
        </is>
      </c>
      <c r="G22" s="67" t="n"/>
      <c r="H22" s="83" t="n">
        <v>420</v>
      </c>
      <c r="I22" s="83">
        <f>G22/H22/650*1000000</f>
        <v/>
      </c>
      <c r="J22" s="81" t="inlineStr">
        <is>
          <t>纯化</t>
        </is>
      </c>
      <c r="M22" s="81">
        <f>N22/G22</f>
        <v/>
      </c>
      <c r="N22" s="68" t="n"/>
      <c r="O22" s="81" t="n">
        <v>45</v>
      </c>
      <c r="P22" s="81">
        <f>O22/I22</f>
        <v/>
      </c>
      <c r="Q22" s="81" t="inlineStr">
        <is>
          <t>补测_20260802_LH00348_0655_B23N2JWLT4</t>
        </is>
      </c>
      <c r="R22" s="81" t="inlineStr">
        <is>
          <t>深圳市易基因科技有限公司</t>
        </is>
      </c>
    </row>
    <row r="23">
      <c r="A23" s="83" t="n">
        <v>18</v>
      </c>
      <c r="B23" s="83" t="inlineStr">
        <is>
          <t>HGC-Lib-26098785</t>
        </is>
      </c>
      <c r="C23" s="83" t="inlineStr">
        <is>
          <t>G-AS-HS-64</t>
        </is>
      </c>
      <c r="D23" s="83" t="n">
        <v>90</v>
      </c>
      <c r="E23" s="83" t="inlineStr">
        <is>
          <t>ACE</t>
        </is>
      </c>
      <c r="F23" s="83" t="inlineStr">
        <is>
          <t>PSM-ZM202607020006-0009</t>
        </is>
      </c>
      <c r="G23" s="67" t="n"/>
      <c r="H23" s="83" t="n">
        <v>458</v>
      </c>
      <c r="I23" s="83">
        <f>G23/H23/650*1000000</f>
        <v/>
      </c>
      <c r="J23" s="81" t="inlineStr">
        <is>
          <t>纯化</t>
        </is>
      </c>
      <c r="M23" s="81">
        <f>N23/G23</f>
        <v/>
      </c>
      <c r="N23" s="81" t="n">
        <v>54</v>
      </c>
      <c r="O23" s="68" t="n"/>
      <c r="P23" s="81">
        <f>O23/I23</f>
        <v/>
      </c>
      <c r="Q23" s="68" t="n"/>
      <c r="R23" s="81" t="inlineStr">
        <is>
          <t>深圳市易基因科技有限公司</t>
        </is>
      </c>
    </row>
    <row r="24">
      <c r="A24" s="83" t="n">
        <v>19</v>
      </c>
      <c r="B24" s="83" t="inlineStr">
        <is>
          <t>HGC-Lib-26099726</t>
        </is>
      </c>
      <c r="C24" s="83" t="inlineStr">
        <is>
          <t>shK3-1</t>
        </is>
      </c>
      <c r="D24" s="83" t="n">
        <v>12</v>
      </c>
      <c r="E24" s="83" t="inlineStr">
        <is>
          <t>ATAC</t>
        </is>
      </c>
      <c r="F24" s="83" t="inlineStr">
        <is>
          <t>PSM-ZM202511270009-0040</t>
        </is>
      </c>
      <c r="G24" s="67" t="n"/>
      <c r="H24" s="83" t="n">
        <v>442</v>
      </c>
      <c r="I24" s="83">
        <f>G24/H24/650*1000000</f>
        <v/>
      </c>
      <c r="M24" s="81">
        <f>N24/G24</f>
        <v/>
      </c>
      <c r="N24" s="81" t="n">
        <v>13.581</v>
      </c>
      <c r="O24" s="68" t="n"/>
      <c r="P24" s="81">
        <f>O24/I24</f>
        <v/>
      </c>
      <c r="Q24" s="68" t="n"/>
      <c r="R24" s="81" t="inlineStr">
        <is>
          <t>中国人民解放军陆军特色医学中心</t>
        </is>
      </c>
    </row>
    <row r="25">
      <c r="A25" s="83" t="n">
        <v>20</v>
      </c>
      <c r="B25" s="83" t="inlineStr">
        <is>
          <t>HGC-POOL-26099156</t>
        </is>
      </c>
      <c r="C25" s="83" t="inlineStr">
        <is>
          <t>26TT-KY124</t>
        </is>
      </c>
      <c r="D25" s="83" t="n">
        <v>54</v>
      </c>
      <c r="E25" s="83" t="inlineStr">
        <is>
          <t>mRNA</t>
        </is>
      </c>
      <c r="F25" s="83" t="inlineStr">
        <is>
          <t>PSM-ZM202602060018-0051</t>
        </is>
      </c>
      <c r="G25" s="67" t="n"/>
      <c r="H25" s="83" t="n">
        <v>457</v>
      </c>
      <c r="I25" s="83">
        <f>G25/H25/650*1000000</f>
        <v/>
      </c>
      <c r="J25" s="81" t="inlineStr">
        <is>
          <t>纯化</t>
        </is>
      </c>
      <c r="M25" s="81">
        <f>N25/G25</f>
        <v/>
      </c>
      <c r="N25" s="81" t="n">
        <v>30.2</v>
      </c>
      <c r="O25" s="68" t="n"/>
      <c r="P25" s="81">
        <f>O25/I25</f>
        <v/>
      </c>
      <c r="Q25" s="68" t="n"/>
      <c r="R25" s="81" t="inlineStr">
        <is>
          <t>南京世和基因生物技术股份有限公司</t>
        </is>
      </c>
    </row>
    <row r="26">
      <c r="A26" s="83" t="n">
        <v>21</v>
      </c>
      <c r="B26" s="83" t="inlineStr">
        <is>
          <t>HGC-Lib-26096826</t>
        </is>
      </c>
      <c r="C26" s="83" t="inlineStr">
        <is>
          <t>C2607240012+CQT2026072110-F001+郭雪</t>
        </is>
      </c>
      <c r="D26" s="83" t="n">
        <v>2</v>
      </c>
      <c r="E26" s="83" t="inlineStr">
        <is>
          <t>mRNA</t>
        </is>
      </c>
      <c r="F26" s="83" t="inlineStr">
        <is>
          <t>PSM-ZM202606090002-0070</t>
        </is>
      </c>
      <c r="G26" s="67" t="n"/>
      <c r="H26" s="66" t="n"/>
      <c r="I26" s="83">
        <f>G26/H26/650*1000000</f>
        <v/>
      </c>
      <c r="M26" s="81">
        <f>N26/G26</f>
        <v/>
      </c>
      <c r="N26" s="81" t="n">
        <v>29.6</v>
      </c>
      <c r="O26" s="68" t="n"/>
      <c r="P26" s="81">
        <f>O26/I26</f>
        <v/>
      </c>
      <c r="Q26" s="81" t="inlineStr">
        <is>
          <t>补测_260803_LH00348_0661_B23NLLMLT4</t>
        </is>
      </c>
      <c r="R26" s="81" t="inlineStr">
        <is>
          <t>广州承启生物科技有限公司</t>
        </is>
      </c>
    </row>
    <row r="27">
      <c r="A27" s="83" t="n">
        <v>22</v>
      </c>
      <c r="B27" s="83" t="inlineStr">
        <is>
          <t>HGC-POOL-26099728</t>
        </is>
      </c>
      <c r="C27" s="83" t="inlineStr">
        <is>
          <t>KSD260804-1</t>
        </is>
      </c>
      <c r="D27" s="83" t="n">
        <v>21</v>
      </c>
      <c r="E27" s="83" t="inlineStr">
        <is>
          <t>panel</t>
        </is>
      </c>
      <c r="F27" s="83" t="inlineStr">
        <is>
          <t>PSM-ZM202508080010-0134</t>
        </is>
      </c>
      <c r="G27" s="67" t="n"/>
      <c r="H27" s="83" t="n">
        <v>321</v>
      </c>
      <c r="I27" s="83">
        <f>G27/H27/650*1000000</f>
        <v/>
      </c>
      <c r="M27" s="81">
        <f>N27/G27</f>
        <v/>
      </c>
      <c r="N27" s="81" t="n">
        <v>8.586</v>
      </c>
      <c r="O27" s="68" t="n"/>
      <c r="P27" s="81">
        <f>O27/I27</f>
        <v/>
      </c>
      <c r="Q27" s="68" t="n"/>
      <c r="R27" s="81" t="inlineStr">
        <is>
          <t>武汉康圣达医学检验所有限公司</t>
        </is>
      </c>
    </row>
    <row r="28">
      <c r="A28" s="83" t="n">
        <v>23</v>
      </c>
      <c r="B28" s="83" t="inlineStr">
        <is>
          <t>260586E</t>
        </is>
      </c>
      <c r="C28" s="83" t="inlineStr">
        <is>
          <t>260586E</t>
        </is>
      </c>
      <c r="D28" s="83" t="n">
        <v>360</v>
      </c>
      <c r="E28" s="83" t="inlineStr">
        <is>
          <t>SuperWES</t>
        </is>
      </c>
      <c r="F28" s="83" t="inlineStr">
        <is>
          <t>PSM-ZM202607030006-0001</t>
        </is>
      </c>
      <c r="G28" s="67" t="n"/>
      <c r="H28" s="83" t="n">
        <v>420</v>
      </c>
      <c r="I28" s="83">
        <f>G28/H28/650*1000000</f>
        <v/>
      </c>
      <c r="M28" s="81">
        <f>N28/G28</f>
        <v/>
      </c>
      <c r="N28" s="81" t="n">
        <v>34.26</v>
      </c>
      <c r="O28" s="68" t="n"/>
      <c r="P28" s="81">
        <f>O28/I28</f>
        <v/>
      </c>
      <c r="Q28" s="68" t="n"/>
      <c r="R28" s="81" t="inlineStr">
        <is>
          <t>中山大学肿瘤防治中心</t>
        </is>
      </c>
    </row>
    <row r="29">
      <c r="A29" s="83" t="n">
        <v>24</v>
      </c>
      <c r="B29" s="83" t="inlineStr">
        <is>
          <t>260215X</t>
        </is>
      </c>
      <c r="C29" s="83" t="inlineStr">
        <is>
          <t>260215X</t>
        </is>
      </c>
      <c r="D29" s="83" t="n">
        <v>20</v>
      </c>
      <c r="E29" s="83" t="inlineStr">
        <is>
          <t>小海码</t>
        </is>
      </c>
      <c r="F29" s="66" t="n"/>
      <c r="G29" s="67" t="n"/>
      <c r="H29" s="83" t="n">
        <v>420</v>
      </c>
      <c r="I29" s="83">
        <f>G29/H29/650*1000000</f>
        <v/>
      </c>
      <c r="M29" s="81">
        <f>N29/G29</f>
        <v/>
      </c>
      <c r="N29" s="81" t="n">
        <v>51.32</v>
      </c>
      <c r="O29" s="68" t="n"/>
      <c r="P29" s="81">
        <f>O29/I29</f>
        <v/>
      </c>
      <c r="Q29" s="81" t="inlineStr">
        <is>
          <t>补测_260803_LH00348_0660_A23NNVVLT4</t>
        </is>
      </c>
      <c r="R29" s="81" t="inlineStr">
        <is>
          <t>小海码</t>
        </is>
      </c>
    </row>
    <row r="30">
      <c r="A30" s="83" t="n">
        <v>25</v>
      </c>
      <c r="B30" s="83" t="inlineStr">
        <is>
          <t>HGC-26084562</t>
        </is>
      </c>
      <c r="C30" s="83" t="inlineStr">
        <is>
          <t>4h_D–</t>
        </is>
      </c>
      <c r="D30" s="83" t="n">
        <v>1</v>
      </c>
      <c r="E30" s="83" t="inlineStr">
        <is>
          <t>mRNA</t>
        </is>
      </c>
      <c r="F30" s="83" t="inlineStr">
        <is>
          <t>PSM-ZM202607100002-0001</t>
        </is>
      </c>
      <c r="G30" s="67" t="n"/>
      <c r="H30" s="83" t="n">
        <v>472</v>
      </c>
      <c r="I30" s="83">
        <f>G30/H30/650*1000000</f>
        <v/>
      </c>
      <c r="M30" s="81">
        <f>N30/G30</f>
        <v/>
      </c>
      <c r="N30" s="81" t="n">
        <v>13.04</v>
      </c>
      <c r="O30" s="68" t="n"/>
      <c r="P30" s="81">
        <f>O30/I30</f>
        <v/>
      </c>
      <c r="Q30" s="81" t="inlineStr">
        <is>
          <t>补测_260803_LH00348_0661_B23NLLMLT4</t>
        </is>
      </c>
      <c r="R30" s="81" t="inlineStr">
        <is>
          <t>中国科学技术大学</t>
        </is>
      </c>
    </row>
    <row r="31">
      <c r="A31" s="83" t="n">
        <v>26</v>
      </c>
      <c r="B31" s="83" t="inlineStr">
        <is>
          <t>HGC-26084563</t>
        </is>
      </c>
      <c r="C31" s="83" t="inlineStr">
        <is>
          <t>4h_D+</t>
        </is>
      </c>
      <c r="D31" s="83" t="n">
        <v>1</v>
      </c>
      <c r="E31" s="83" t="inlineStr">
        <is>
          <t>mRNA</t>
        </is>
      </c>
      <c r="F31" s="83" t="inlineStr">
        <is>
          <t>PSM-ZM202607100002-0001</t>
        </is>
      </c>
      <c r="G31" s="67" t="n"/>
      <c r="H31" s="83" t="n">
        <v>472</v>
      </c>
      <c r="I31" s="83">
        <f>G31/H31/650*1000000</f>
        <v/>
      </c>
      <c r="M31" s="81">
        <f>N31/G31</f>
        <v/>
      </c>
      <c r="N31" s="81" t="n">
        <v>36.87</v>
      </c>
      <c r="O31" s="68" t="n"/>
      <c r="P31" s="81">
        <f>O31/I31</f>
        <v/>
      </c>
      <c r="Q31" s="81" t="inlineStr">
        <is>
          <t>补测_260803_LH00348_0661_B23NLLMLT4</t>
        </is>
      </c>
      <c r="R31" s="81" t="inlineStr">
        <is>
          <t>中国科学技术大学</t>
        </is>
      </c>
    </row>
    <row r="32">
      <c r="A32" s="83" t="n">
        <v>27</v>
      </c>
      <c r="B32" s="83" t="inlineStr">
        <is>
          <t>B8-50</t>
        </is>
      </c>
      <c r="C32" s="83" t="inlineStr">
        <is>
          <t>B8-50</t>
        </is>
      </c>
      <c r="D32" s="83" t="n">
        <v>50</v>
      </c>
      <c r="E32" s="83" t="inlineStr">
        <is>
          <t>10x5′单细胞免疫组库</t>
        </is>
      </c>
      <c r="F32" s="83" t="inlineStr">
        <is>
          <t>PSM-ZM202606090002-0077</t>
        </is>
      </c>
      <c r="G32" s="67" t="n"/>
      <c r="H32" s="66" t="n"/>
      <c r="I32" s="83">
        <f>G32/H32/650*1000000</f>
        <v/>
      </c>
      <c r="M32" s="81">
        <f>N32/G32</f>
        <v/>
      </c>
      <c r="N32" s="81" t="n">
        <v>12.5</v>
      </c>
      <c r="O32" s="68" t="n"/>
      <c r="P32" s="81">
        <f>O32/I32</f>
        <v/>
      </c>
      <c r="Q32" s="68" t="n"/>
      <c r="R32" s="81" t="inlineStr">
        <is>
          <t>广州承启生物科技有限公司</t>
        </is>
      </c>
    </row>
    <row r="33">
      <c r="A33" s="83" t="n">
        <v>28</v>
      </c>
      <c r="B33" s="83" t="inlineStr">
        <is>
          <t>B8-3</t>
        </is>
      </c>
      <c r="C33" s="83" t="inlineStr">
        <is>
          <t>B8-3</t>
        </is>
      </c>
      <c r="D33" s="83" t="n">
        <v>3</v>
      </c>
      <c r="E33" s="83" t="inlineStr">
        <is>
          <t>ribo-seq</t>
        </is>
      </c>
      <c r="F33" s="83" t="inlineStr">
        <is>
          <t>PSM-ZM202607150006-0002</t>
        </is>
      </c>
      <c r="G33" s="67" t="n"/>
      <c r="H33" s="83" t="n">
        <v>312</v>
      </c>
      <c r="I33" s="83">
        <f>G33/H33/650*1000000</f>
        <v/>
      </c>
      <c r="M33" s="81">
        <f>N33/G33</f>
        <v/>
      </c>
      <c r="N33" s="68" t="n"/>
      <c r="O33" s="81" t="n">
        <v>46.12</v>
      </c>
      <c r="P33" s="81">
        <f>O33/I33</f>
        <v/>
      </c>
      <c r="Q33" s="81" t="inlineStr">
        <is>
          <t>补测_20260804_LH00348_0656_A2333WCLT4</t>
        </is>
      </c>
      <c r="R33" s="81" t="inlineStr">
        <is>
          <t>南方医科大学</t>
        </is>
      </c>
    </row>
    <row r="34">
      <c r="A34" s="83" t="n">
        <v>29</v>
      </c>
      <c r="B34" s="83" t="inlineStr">
        <is>
          <t>B8-190</t>
        </is>
      </c>
      <c r="C34" s="83" t="inlineStr">
        <is>
          <t>B8-190</t>
        </is>
      </c>
      <c r="D34" s="83" t="n">
        <v>190</v>
      </c>
      <c r="E34" s="83" t="inlineStr">
        <is>
          <t>singleron-3'全长转录组文库</t>
        </is>
      </c>
      <c r="F34" s="83" t="inlineStr">
        <is>
          <t>PSM-ZM202605250008-0155</t>
        </is>
      </c>
      <c r="G34" s="67" t="n"/>
      <c r="H34" s="66" t="n"/>
      <c r="I34" s="83">
        <f>G34/H34/650*1000000</f>
        <v/>
      </c>
      <c r="M34" s="81">
        <f>N34/G34</f>
        <v/>
      </c>
      <c r="N34" s="81" t="n">
        <v>13.34</v>
      </c>
      <c r="O34" s="68" t="n"/>
      <c r="P34" s="81">
        <f>O34/I34</f>
        <v/>
      </c>
      <c r="Q34" s="68" t="n"/>
      <c r="R34" s="81" t="inlineStr">
        <is>
          <t>南京通元医学检验实验室有限公司</t>
        </is>
      </c>
    </row>
    <row r="35">
      <c r="A35" s="83" t="n">
        <v>30</v>
      </c>
      <c r="B35" s="83" t="inlineStr">
        <is>
          <t>B8-5</t>
        </is>
      </c>
      <c r="C35" s="83" t="inlineStr">
        <is>
          <t>B8-5</t>
        </is>
      </c>
      <c r="D35" s="83" t="n">
        <v>5</v>
      </c>
      <c r="E35" s="83" t="inlineStr">
        <is>
          <t>WGS</t>
        </is>
      </c>
      <c r="F35" s="83" t="inlineStr">
        <is>
          <t>HGC20250306005-0904</t>
        </is>
      </c>
      <c r="G35" s="67" t="n"/>
      <c r="H35" s="66" t="n"/>
      <c r="I35" s="83">
        <f>G35/H35/650*1000000</f>
        <v/>
      </c>
      <c r="M35" s="81">
        <f>N35/G35</f>
        <v/>
      </c>
      <c r="N35" s="81" t="n">
        <v>5.783</v>
      </c>
      <c r="O35" s="68" t="n"/>
      <c r="P35" s="81">
        <f>O35/I35</f>
        <v/>
      </c>
      <c r="Q35" s="81" t="inlineStr">
        <is>
          <t>补测_260803_LH00348_0661_B23NLLMLT4</t>
        </is>
      </c>
      <c r="R35" s="81" t="inlineStr">
        <is>
          <t>HaploxGeneTech(HongKong)Limited</t>
        </is>
      </c>
    </row>
    <row r="36">
      <c r="A36" s="83" t="n">
        <v>31</v>
      </c>
      <c r="B36" s="83" t="inlineStr">
        <is>
          <t>B8-87</t>
        </is>
      </c>
      <c r="C36" s="83" t="inlineStr">
        <is>
          <t>B8-87</t>
        </is>
      </c>
      <c r="D36" s="83" t="n">
        <v>87</v>
      </c>
      <c r="E36" s="83" t="inlineStr">
        <is>
          <t>atac</t>
        </is>
      </c>
      <c r="F36" s="83" t="inlineStr">
        <is>
          <t>PSM-ZM202605260006-0003</t>
        </is>
      </c>
      <c r="G36" s="67" t="n"/>
      <c r="H36" s="83" t="n">
        <v>294.27</v>
      </c>
      <c r="I36" s="83">
        <f>G36/H36/650*1000000</f>
        <v/>
      </c>
      <c r="M36" s="81">
        <f>N36/G36</f>
        <v/>
      </c>
      <c r="N36" s="68" t="n"/>
      <c r="O36" s="81" t="n">
        <v>45</v>
      </c>
      <c r="P36" s="81">
        <f>O36/I36</f>
        <v/>
      </c>
      <c r="Q36" s="68" t="n"/>
      <c r="R36" s="81" t="inlineStr">
        <is>
          <t>北京唐唐天下生物科技有限公司</t>
        </is>
      </c>
    </row>
    <row r="37">
      <c r="A37" s="83" t="n">
        <v>32</v>
      </c>
      <c r="B37" s="83" t="inlineStr">
        <is>
          <t>260805P1-228</t>
        </is>
      </c>
      <c r="C37" s="83" t="inlineStr">
        <is>
          <t>260805P1-228</t>
        </is>
      </c>
      <c r="D37" s="83" t="n">
        <v>228</v>
      </c>
      <c r="E37" s="83" t="inlineStr">
        <is>
          <t>mRNA</t>
        </is>
      </c>
      <c r="F37" s="83" t="inlineStr">
        <is>
          <t>PSM-ZM202607100004-0002</t>
        </is>
      </c>
      <c r="G37" s="67" t="n"/>
      <c r="H37" s="83" t="n">
        <v>496</v>
      </c>
      <c r="I37" s="83">
        <f>G37/H37/650*1000000</f>
        <v/>
      </c>
      <c r="M37" s="81">
        <f>N37/G37</f>
        <v/>
      </c>
      <c r="N37" s="81" t="n">
        <v>21.43</v>
      </c>
      <c r="O37" s="68" t="n"/>
      <c r="P37" s="81">
        <f>O37/I37</f>
        <v/>
      </c>
      <c r="Q37" s="68" t="n"/>
      <c r="R37" s="81" t="inlineStr">
        <is>
          <t>中国科学院深圳先进技术研究院</t>
        </is>
      </c>
    </row>
    <row r="38">
      <c r="A38" s="83" t="n">
        <v>33</v>
      </c>
      <c r="B38" s="83" t="inlineStr">
        <is>
          <t>HGC-Lib-26099727</t>
        </is>
      </c>
      <c r="C38" s="83" t="inlineStr">
        <is>
          <t>WT2612-3</t>
        </is>
      </c>
      <c r="D38" s="83" t="n">
        <v>12</v>
      </c>
      <c r="E38" s="83" t="inlineStr">
        <is>
          <t>ATAC</t>
        </is>
      </c>
      <c r="F38" s="83" t="inlineStr">
        <is>
          <t>PSM-ZM202511270009-0040</t>
        </is>
      </c>
      <c r="G38" s="67" t="n"/>
      <c r="H38" s="83" t="n">
        <v>444</v>
      </c>
      <c r="I38" s="83">
        <f>G38/H38/650*1000000</f>
        <v/>
      </c>
      <c r="M38" s="81">
        <f>N38/G38</f>
        <v/>
      </c>
      <c r="N38" s="81" t="n">
        <v>13.797</v>
      </c>
      <c r="O38" s="68" t="n"/>
      <c r="P38" s="81">
        <f>O38/I38</f>
        <v/>
      </c>
      <c r="Q38" s="68" t="n"/>
      <c r="R38" s="81" t="inlineStr">
        <is>
          <t>中国人民解放军陆军特色医学中心</t>
        </is>
      </c>
    </row>
    <row r="39">
      <c r="A39" s="83" t="n">
        <v>34</v>
      </c>
      <c r="B39" s="83" t="inlineStr">
        <is>
          <t>HGC-Lib-26100081</t>
        </is>
      </c>
      <c r="C39" s="83" t="inlineStr">
        <is>
          <t>TCRLGTBA260729017</t>
        </is>
      </c>
      <c r="D39" s="83" t="n">
        <v>12</v>
      </c>
      <c r="E39" s="83" t="inlineStr">
        <is>
          <t>singleron-单细胞TCR文库</t>
        </is>
      </c>
      <c r="F39" s="83" t="inlineStr">
        <is>
          <t>PSM-ZM202605250008-0155</t>
        </is>
      </c>
      <c r="G39" s="67" t="n"/>
      <c r="H39" s="66" t="n"/>
      <c r="I39" s="83">
        <f>G39/H39/650*1000000</f>
        <v/>
      </c>
      <c r="M39" s="81">
        <f>N39/G39</f>
        <v/>
      </c>
      <c r="N39" s="81" t="n">
        <v>22</v>
      </c>
      <c r="O39" s="68" t="n"/>
      <c r="P39" s="81">
        <f>O39/I39</f>
        <v/>
      </c>
      <c r="Q39" s="68" t="n"/>
      <c r="R39" s="81" t="inlineStr">
        <is>
          <t>南京通元医学检验实验室有限公司</t>
        </is>
      </c>
    </row>
    <row r="40">
      <c r="A40" s="83" t="n">
        <v>35</v>
      </c>
      <c r="B40" s="83" t="inlineStr">
        <is>
          <t>260590E</t>
        </is>
      </c>
      <c r="C40" s="83" t="inlineStr">
        <is>
          <t>260590E</t>
        </is>
      </c>
      <c r="D40" s="83" t="n">
        <v>360</v>
      </c>
      <c r="E40" s="83" t="inlineStr">
        <is>
          <t>SuperWES</t>
        </is>
      </c>
      <c r="F40" s="83" t="inlineStr">
        <is>
          <t>PSM-ZM202607030006-0001</t>
        </is>
      </c>
      <c r="G40" s="67" t="n"/>
      <c r="H40" s="83" t="n">
        <v>420</v>
      </c>
      <c r="I40" s="83">
        <f>G40/H40/650*1000000</f>
        <v/>
      </c>
      <c r="M40" s="81">
        <f>N40/G40</f>
        <v/>
      </c>
      <c r="N40" s="81" t="n">
        <v>40.47</v>
      </c>
      <c r="O40" s="68" t="n"/>
      <c r="P40" s="81">
        <f>O40/I40</f>
        <v/>
      </c>
      <c r="Q40" s="68" t="n"/>
      <c r="R40" s="81" t="inlineStr">
        <is>
          <t>中山大学肿瘤防治中心</t>
        </is>
      </c>
    </row>
    <row r="41">
      <c r="A41" s="83" t="n">
        <v>36</v>
      </c>
      <c r="B41" s="83" t="inlineStr">
        <is>
          <t>HGC-Lib-26098850</t>
        </is>
      </c>
      <c r="C41" s="83" t="inlineStr">
        <is>
          <t>E1_p0</t>
        </is>
      </c>
      <c r="D41" s="83" t="n">
        <v>5</v>
      </c>
      <c r="E41" s="83" t="inlineStr">
        <is>
          <t>WGS</t>
        </is>
      </c>
      <c r="F41" s="83" t="inlineStr">
        <is>
          <t>HGC20250306005-0904</t>
        </is>
      </c>
      <c r="G41" s="67" t="n"/>
      <c r="H41" s="66" t="n"/>
      <c r="I41" s="83">
        <f>G41/H41/650*1000000</f>
        <v/>
      </c>
      <c r="M41" s="81">
        <f>N41/G41</f>
        <v/>
      </c>
      <c r="N41" s="81" t="n">
        <v>1.95</v>
      </c>
      <c r="O41" s="68" t="n"/>
      <c r="P41" s="81">
        <f>O41/I41</f>
        <v/>
      </c>
      <c r="Q41" s="81" t="inlineStr">
        <is>
          <t>补测_260803_LH00348_0661_B23NLLMLT4</t>
        </is>
      </c>
      <c r="R41" s="81" t="inlineStr">
        <is>
          <t>HaploxGeneTech(HongKong)Limited</t>
        </is>
      </c>
    </row>
    <row r="42">
      <c r="A42" s="83" t="n">
        <v>37</v>
      </c>
      <c r="B42" s="83" t="inlineStr">
        <is>
          <t>HGC-Lib-26098892</t>
        </is>
      </c>
      <c r="C42" s="83" t="inlineStr">
        <is>
          <t>T2804-4</t>
        </is>
      </c>
      <c r="D42" s="83" t="n">
        <v>15</v>
      </c>
      <c r="E42" s="83" t="inlineStr">
        <is>
          <t>atac</t>
        </is>
      </c>
      <c r="F42" s="83" t="inlineStr">
        <is>
          <t>PSM-ZM202605260006-0003</t>
        </is>
      </c>
      <c r="G42" s="67" t="n"/>
      <c r="H42" s="83" t="n">
        <v>269</v>
      </c>
      <c r="I42" s="83">
        <f>G42/H42/650*1000000</f>
        <v/>
      </c>
      <c r="M42" s="81">
        <f>N42/G42</f>
        <v/>
      </c>
      <c r="N42" s="81" t="n">
        <v>18.2</v>
      </c>
      <c r="O42" s="68" t="n"/>
      <c r="P42" s="81">
        <f>O42/I42</f>
        <v/>
      </c>
      <c r="Q42" s="68" t="n"/>
      <c r="R42" s="81" t="inlineStr">
        <is>
          <t>北京唐唐天下生物科技有限公司</t>
        </is>
      </c>
    </row>
    <row r="43"/>
    <row r="44"/>
    <row r="45"/>
    <row r="46"/>
    <row r="47"/>
    <row r="48" ht="15.75" customHeight="1" s="41">
      <c r="C48" s="84" t="inlineStr">
        <is>
          <t>Mix：（4样+1阴+6标准）*2</t>
        </is>
      </c>
      <c r="D48" s="75" t="inlineStr">
        <is>
          <t>试剂</t>
        </is>
      </c>
      <c r="E48" s="70" t="inlineStr">
        <is>
          <t>体系</t>
        </is>
      </c>
    </row>
    <row r="49" ht="15.75" customHeight="1" s="41">
      <c r="C49" s="64" t="n"/>
      <c r="D49" s="75" t="inlineStr">
        <is>
          <t>Primer Mix</t>
        </is>
      </c>
      <c r="E49" s="70">
        <f>5*(G3+1+7)*2</f>
        <v/>
      </c>
    </row>
    <row r="50" ht="15.75" customHeight="1" s="41">
      <c r="C50" s="65" t="n"/>
      <c r="D50" s="75" t="inlineStr">
        <is>
          <t>DD水</t>
        </is>
      </c>
      <c r="E50" s="70">
        <f>E49/5</f>
        <v/>
      </c>
    </row>
  </sheetData>
  <mergeCells count="6">
    <mergeCell ref="A4:B4"/>
    <mergeCell ref="C48:C50"/>
    <mergeCell ref="A1:I2"/>
    <mergeCell ref="G4:I4"/>
    <mergeCell ref="G3:I3"/>
    <mergeCell ref="A3:B3"/>
  </mergeCells>
  <conditionalFormatting sqref="A3:A4">
    <cfRule type="duplicateValues" priority="202" dxfId="0"/>
  </conditionalFormatting>
  <conditionalFormatting sqref="B1:B4">
    <cfRule type="duplicateValues" priority="200" dxfId="0"/>
  </conditionalFormatting>
  <conditionalFormatting sqref="B1:B5">
    <cfRule type="duplicateValues" priority="184" dxfId="0"/>
    <cfRule type="duplicateValues" priority="196" dxfId="0"/>
  </conditionalFormatting>
  <conditionalFormatting sqref="B5">
    <cfRule type="duplicateValues" priority="197" dxfId="0"/>
  </conditionalFormatting>
  <conditionalFormatting sqref="B6">
    <cfRule type="duplicateValues" priority="104" dxfId="0"/>
  </conditionalFormatting>
  <conditionalFormatting sqref="B7">
    <cfRule type="duplicateValues" priority="102" dxfId="0"/>
  </conditionalFormatting>
  <conditionalFormatting sqref="C3:C4">
    <cfRule type="duplicateValues" priority="203" dxfId="0"/>
  </conditionalFormatting>
  <conditionalFormatting sqref="C5">
    <cfRule type="duplicateValues" priority="198" dxfId="0"/>
  </conditionalFormatting>
  <conditionalFormatting sqref="C6">
    <cfRule type="duplicateValues" priority="105" dxfId="0"/>
  </conditionalFormatting>
  <conditionalFormatting sqref="C7">
    <cfRule type="duplicateValues" priority="103" dxfId="0"/>
  </conditionalFormatting>
  <conditionalFormatting sqref="E3">
    <cfRule type="duplicateValues" priority="201" dxfId="0"/>
  </conditionalFormatting>
  <conditionalFormatting sqref="I1:I5">
    <cfRule type="cellIs" priority="186" operator="greaterThan" dxfId="0">
      <formula>100</formula>
    </cfRule>
  </conditionalFormatting>
  <conditionalFormatting sqref="C48:C50">
    <cfRule type="duplicateValues" priority="1" dxfId="0"/>
  </conditionalFormatting>
  <conditionalFormatting sqref="B8:B50">
    <cfRule type="expression" priority="15" dxfId="14">
      <formula>AND(A8&lt;&gt;"",H8="")</formula>
    </cfRule>
  </conditionalFormatting>
  <conditionalFormatting sqref="H8:H50">
    <cfRule type="expression" priority="16" dxfId="14">
      <formula>AND(A8&lt;&gt;"",H8="")</formula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2018-01-15T00:58:00Z</dcterms:created>
  <dcterms:modified xsi:type="dcterms:W3CDTF">2026-08-07T06:53:07Z</dcterms:modified>
  <cp:lastModifiedBy>admin</cp:lastModifiedBy>
  <cp:lastPrinted>2021-12-20T07:02:00Z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B0F0A96B9134449F98A5022D16D72D01_13</vt:lpwstr>
  </property>
  <property name="commondata" fmtid="{D5CDD505-2E9C-101B-9397-08002B2CF9AE}" pid="4">
    <vt:lpwstr>eyJoZGlkIjoiOGNmYzQ0ZmE2ODVjMTBhOTlkMmZiMzQxY2E5ZWUzMGMifQ==</vt:lpwstr>
  </property>
  <property name="KSOReadingLayout" fmtid="{D5CDD505-2E9C-101B-9397-08002B2CF9AE}" pid="5">
    <vt:bool>1</vt:bool>
  </property>
  <property name="CalculationRule" fmtid="{D5CDD505-2E9C-101B-9397-08002B2CF9AE}" pid="6">
    <vt:i4>0</vt:i4>
  </property>
</Properties>
</file>